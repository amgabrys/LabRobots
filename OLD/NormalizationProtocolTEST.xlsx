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gabrys/Desktop/"/>
    </mc:Choice>
  </mc:AlternateContent>
  <xr:revisionPtr revIDLastSave="0" documentId="13_ncr:1_{558BF834-CE98-8848-932B-7493AA129D55}" xr6:coauthVersionLast="47" xr6:coauthVersionMax="47" xr10:uidLastSave="{00000000-0000-0000-0000-000000000000}"/>
  <bookViews>
    <workbookView xWindow="1460" yWindow="1000" windowWidth="27240" windowHeight="16020" xr2:uid="{D5D15ADD-6E3E-4845-9E7C-DD0C8D723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6" i="1" l="1"/>
  <c r="AH95" i="1"/>
  <c r="AG96" i="1"/>
  <c r="AG95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3" i="1"/>
  <c r="AH3" i="1"/>
  <c r="AG4" i="1"/>
  <c r="AH4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H2" i="1"/>
  <c r="AG2" i="1"/>
  <c r="Y7" i="1"/>
  <c r="Y8" i="1"/>
  <c r="Y9" i="1"/>
  <c r="Y6" i="1"/>
  <c r="X7" i="1"/>
  <c r="X8" i="1"/>
  <c r="X9" i="1"/>
  <c r="X10" i="1"/>
  <c r="X11" i="1"/>
  <c r="X12" i="1"/>
  <c r="X13" i="1"/>
  <c r="X6" i="1"/>
  <c r="W7" i="1"/>
  <c r="W8" i="1"/>
  <c r="W9" i="1"/>
  <c r="W10" i="1"/>
  <c r="W11" i="1"/>
  <c r="W12" i="1"/>
  <c r="W13" i="1"/>
  <c r="W6" i="1"/>
  <c r="V7" i="1"/>
  <c r="V8" i="1"/>
  <c r="V9" i="1"/>
  <c r="V10" i="1"/>
  <c r="V11" i="1"/>
  <c r="V12" i="1"/>
  <c r="V13" i="1"/>
  <c r="V6" i="1"/>
  <c r="U7" i="1"/>
  <c r="U8" i="1"/>
  <c r="U9" i="1"/>
  <c r="U10" i="1"/>
  <c r="U11" i="1"/>
  <c r="U12" i="1"/>
  <c r="U13" i="1"/>
  <c r="U6" i="1"/>
  <c r="T7" i="1"/>
  <c r="T8" i="1"/>
  <c r="T9" i="1"/>
  <c r="T10" i="1"/>
  <c r="T11" i="1"/>
  <c r="T12" i="1"/>
  <c r="T13" i="1"/>
  <c r="T6" i="1"/>
  <c r="S7" i="1"/>
  <c r="S8" i="1"/>
  <c r="S9" i="1"/>
  <c r="S10" i="1"/>
  <c r="S11" i="1"/>
  <c r="S12" i="1"/>
  <c r="S13" i="1"/>
  <c r="S6" i="1"/>
  <c r="R7" i="1"/>
  <c r="R8" i="1"/>
  <c r="R9" i="1"/>
  <c r="R10" i="1"/>
  <c r="R11" i="1"/>
  <c r="R12" i="1"/>
  <c r="R13" i="1"/>
  <c r="R6" i="1"/>
  <c r="Q7" i="1"/>
  <c r="Q8" i="1"/>
  <c r="Q9" i="1"/>
  <c r="Q10" i="1"/>
  <c r="Q11" i="1"/>
  <c r="Q12" i="1"/>
  <c r="Q13" i="1"/>
  <c r="Q6" i="1"/>
  <c r="P7" i="1"/>
  <c r="P8" i="1"/>
  <c r="P9" i="1"/>
  <c r="P10" i="1"/>
  <c r="P11" i="1"/>
  <c r="P12" i="1"/>
  <c r="P13" i="1"/>
  <c r="P6" i="1"/>
  <c r="O7" i="1"/>
  <c r="O8" i="1"/>
  <c r="O9" i="1"/>
  <c r="O10" i="1"/>
  <c r="O11" i="1"/>
  <c r="O12" i="1"/>
  <c r="O13" i="1"/>
  <c r="O6" i="1"/>
  <c r="N13" i="1"/>
  <c r="N7" i="1"/>
  <c r="N8" i="1"/>
  <c r="N9" i="1"/>
  <c r="N10" i="1"/>
  <c r="N11" i="1"/>
  <c r="N12" i="1"/>
  <c r="N6" i="1"/>
</calcChain>
</file>

<file path=xl/sharedStrings.xml><?xml version="1.0" encoding="utf-8"?>
<sst xmlns="http://schemas.openxmlformats.org/spreadsheetml/2006/main" count="411" uniqueCount="222">
  <si>
    <t>1. Input data</t>
  </si>
  <si>
    <t>Final dilution volume (µl)</t>
  </si>
  <si>
    <t>Normalized concentration (µl)</t>
  </si>
  <si>
    <t>Min pipette volume (µl)</t>
  </si>
  <si>
    <t>Sample</t>
  </si>
  <si>
    <t>Well</t>
  </si>
  <si>
    <t>Concentration</t>
  </si>
  <si>
    <t>A</t>
  </si>
  <si>
    <t>B</t>
  </si>
  <si>
    <t>C</t>
  </si>
  <si>
    <t>D</t>
  </si>
  <si>
    <t>E</t>
  </si>
  <si>
    <t>F</t>
  </si>
  <si>
    <t>G</t>
  </si>
  <si>
    <t>H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</si>
  <si>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</si>
  <si>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</si>
  <si>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</si>
  <si>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</si>
  <si>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</si>
  <si>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</si>
  <si>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</si>
  <si>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</si>
  <si>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</si>
  <si>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</si>
  <si>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</si>
  <si>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</si>
  <si>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</si>
  <si>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</si>
  <si>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</si>
  <si>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</si>
  <si>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</si>
  <si>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</si>
  <si>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</si>
  <si>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</si>
  <si>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</si>
  <si>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</si>
  <si>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</si>
  <si>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</si>
  <si>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</si>
  <si>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</si>
  <si>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</si>
  <si>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</si>
  <si>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</si>
  <si>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</si>
  <si>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</si>
  <si>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</si>
  <si>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</si>
  <si>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</si>
  <si>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</si>
  <si>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</si>
  <si>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</si>
  <si>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</si>
  <si>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</si>
  <si>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</si>
  <si>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</si>
  <si>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C6</t>
  </si>
  <si>
    <t>B6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</si>
  <si>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</si>
  <si>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</si>
  <si>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</si>
  <si>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</si>
  <si>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</si>
  <si>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</si>
  <si>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</si>
  <si>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</si>
  <si>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</si>
  <si>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</si>
  <si>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</si>
  <si>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</si>
  <si>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</si>
  <si>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</si>
  <si>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C8</t>
  </si>
  <si>
    <t>B8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</si>
  <si>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</si>
  <si>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</si>
  <si>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</si>
  <si>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</si>
  <si>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</si>
  <si>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</si>
  <si>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</si>
  <si>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</si>
  <si>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</si>
  <si>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</si>
  <si>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</si>
  <si>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</si>
  <si>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</si>
  <si>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</si>
  <si>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</si>
  <si>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</si>
  <si>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</si>
  <si>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</si>
  <si>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</si>
  <si>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</si>
  <si>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A11</t>
  </si>
  <si>
    <t>H10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</si>
  <si>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</si>
  <si>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</si>
  <si>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</si>
  <si>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</si>
  <si>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</si>
  <si>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</si>
  <si>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</si>
  <si>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</si>
  <si>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</si>
  <si>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</si>
  <si>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</si>
  <si>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Source Plate</t>
  </si>
  <si>
    <t>2. Save plate map and sample-well list</t>
  </si>
  <si>
    <t>2. Save the next 4 columns as their own CSV, and use with the robot</t>
  </si>
  <si>
    <t>Water blank</t>
  </si>
  <si>
    <t>Positive control</t>
  </si>
  <si>
    <t>Samples to be added to a separate plate</t>
  </si>
  <si>
    <t>Source_Plate</t>
  </si>
  <si>
    <t>Source_Well</t>
  </si>
  <si>
    <t>Destination_Plate</t>
  </si>
  <si>
    <t>Destination_Well</t>
  </si>
  <si>
    <t>Source Well</t>
  </si>
  <si>
    <t>POS</t>
  </si>
  <si>
    <t>NEG</t>
  </si>
  <si>
    <t>MCS</t>
  </si>
  <si>
    <t>WB</t>
  </si>
  <si>
    <t>Sample Count</t>
  </si>
  <si>
    <t>E12</t>
  </si>
  <si>
    <t>F12</t>
  </si>
  <si>
    <t>4-11</t>
  </si>
  <si>
    <t>6-14</t>
  </si>
  <si>
    <t>6-15</t>
  </si>
  <si>
    <t>7-1</t>
  </si>
  <si>
    <t>7-2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</si>
  <si>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</si>
  <si>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</si>
  <si>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</si>
  <si>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</si>
  <si>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</si>
  <si>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</si>
  <si>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</si>
  <si>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</si>
  <si>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</si>
  <si>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</si>
  <si>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</si>
  <si>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</si>
  <si>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</si>
  <si>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</si>
  <si>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</si>
  <si>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</si>
  <si>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</si>
  <si>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</si>
  <si>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</si>
  <si>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</si>
  <si>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</si>
  <si>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</si>
  <si>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</si>
  <si>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</si>
  <si>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</si>
  <si>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</si>
  <si>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</si>
  <si>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</si>
  <si>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</si>
  <si>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</si>
  <si>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</si>
  <si>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</si>
  <si>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</si>
  <si>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</si>
  <si>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</si>
  <si>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</si>
  <si>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</si>
  <si>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</si>
  <si>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</si>
  <si>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</si>
  <si>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</si>
  <si>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</si>
  <si>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</si>
  <si>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</si>
  <si>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</si>
  <si>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</si>
  <si>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</si>
  <si>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</si>
  <si>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</si>
  <si>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</si>
  <si>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</si>
  <si>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</si>
  <si>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</si>
  <si>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</si>
  <si>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</si>
  <si>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4-12</t>
  </si>
  <si>
    <t>4-13</t>
  </si>
  <si>
    <t>4-14</t>
  </si>
  <si>
    <t>4-15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</si>
  <si>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</si>
  <si>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</si>
  <si>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</si>
  <si>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</si>
  <si>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</si>
  <si>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</si>
  <si>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</si>
  <si>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</si>
  <si>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</si>
  <si>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</si>
  <si>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</si>
  <si>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</si>
  <si>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</si>
  <si>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</si>
  <si>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</si>
  <si>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</si>
  <si>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</si>
  <si>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</si>
  <si>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</si>
  <si>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</si>
  <si>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</si>
  <si>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</si>
  <si>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</si>
  <si>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</si>
  <si>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</si>
  <si>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</si>
  <si>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</si>
  <si>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</si>
  <si>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Main</t>
  </si>
  <si>
    <t>Water_Volume</t>
  </si>
  <si>
    <t>Sample_Volume</t>
  </si>
  <si>
    <t>S+AI99</t>
  </si>
  <si>
    <t>Maximum dilution volume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</si>
</sst>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434343"/>
      <name val="Roboto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AA0B-4F12-9D44-8332-F311A3A22A19}">
  <dimension ref="A1:AL104"/>
  <sheetViews>
    <sheetView tabSelected="1" topLeftCell="Q1" workbookViewId="0">
      <selection activeCell="AK2" sqref="AK2"/>
    </sheetView>
  </sheetViews>
  <sheetFormatPr baseColWidth="10" defaultRowHeight="16" x14ac:dyDescent="0.2"/>
  <cols>
    <col min="1" max="1" width="33.1640625" customWidth="1"/>
    <col min="2" max="2" width="34.6640625" style="11" customWidth="1"/>
    <col min="3" max="3" width="11.83203125" customWidth="1"/>
    <col min="6" max="6" width="12.5" style="16" customWidth="1"/>
    <col min="7" max="7" width="8.33203125" style="19" customWidth="1"/>
    <col min="8" max="8" width="10.83203125" style="16" customWidth="1"/>
    <col min="9" max="9" width="9.33203125" style="16" customWidth="1"/>
    <col min="10" max="10" width="14.1640625" style="16" customWidth="1"/>
    <col min="13" max="13" width="4.1640625" customWidth="1"/>
    <col min="14" max="25" width="4.33203125" customWidth="1"/>
    <col min="35" max="35" width="12.33203125" customWidth="1"/>
    <col min="37" max="37" width="14.83203125" customWidth="1"/>
  </cols>
  <sheetData>
    <row r="1" spans="1:38" x14ac:dyDescent="0.2">
      <c r="AG1" t="s">
        <v>113</v>
      </c>
      <c r="AH1" t="s">
        <v>114</v>
      </c>
      <c r="AI1" t="s">
        <v>115</v>
      </c>
      <c r="AJ1" t="s">
        <v>116</v>
      </c>
      <c r="AK1" t="s">
        <v>218</v>
      </c>
      <c r="AL1" t="s">
        <v>219</v>
      </c>
    </row>
    <row r="2" spans="1:38" x14ac:dyDescent="0.2">
      <c r="B2" s="13" t="s">
        <v>0</v>
      </c>
      <c r="M2" s="1" t="s">
        <v>108</v>
      </c>
      <c r="AB2" s="1" t="s">
        <v>109</v>
      </c>
      <c r="AG2">
        <f>H6</f>
        <v>1</v>
      </c>
      <c r="AH2" t="str">
        <f>I6</f>
        <v>A1</v>
      </c>
      <c r="AI2" t="s">
        <v>217</v>
      </c>
      <c r="AJ2" s="23" t="s">
        <v>15</v>
      </c>
    </row>
    <row r="3" spans="1:38" ht="17" thickBot="1" x14ac:dyDescent="0.25">
      <c r="AG3">
        <f t="shared" ref="AG3:AH3" si="0">H7</f>
        <v>1</v>
      </c>
      <c r="AH3" t="str">
        <f t="shared" si="0"/>
        <v>B1</v>
      </c>
      <c r="AI3" t="s">
        <v>217</v>
      </c>
      <c r="AJ3" s="23" t="s">
        <v>16</v>
      </c>
    </row>
    <row r="4" spans="1:38" ht="35" thickBot="1" x14ac:dyDescent="0.25">
      <c r="B4" s="14" t="s">
        <v>1</v>
      </c>
      <c r="C4" s="7">
        <v>20</v>
      </c>
      <c r="F4" s="12" t="s">
        <v>122</v>
      </c>
      <c r="G4" s="20" t="s">
        <v>4</v>
      </c>
      <c r="H4" s="12" t="s">
        <v>107</v>
      </c>
      <c r="I4" s="12" t="s">
        <v>5</v>
      </c>
      <c r="J4" s="12" t="s">
        <v>6</v>
      </c>
      <c r="M4" s="2"/>
      <c r="N4" s="21">
        <v>1</v>
      </c>
      <c r="O4" s="22">
        <v>2</v>
      </c>
      <c r="P4" s="22">
        <v>3</v>
      </c>
      <c r="Q4" s="22">
        <v>4</v>
      </c>
      <c r="R4" s="22">
        <v>5</v>
      </c>
      <c r="S4" s="22">
        <v>6</v>
      </c>
      <c r="T4" s="22">
        <v>7</v>
      </c>
      <c r="U4" s="22">
        <v>8</v>
      </c>
      <c r="V4" s="22">
        <v>9</v>
      </c>
      <c r="W4" s="22">
        <v>10</v>
      </c>
      <c r="X4" s="22">
        <v>11</v>
      </c>
      <c r="Y4" s="22">
        <v>12</v>
      </c>
      <c r="AG4">
        <f t="shared" ref="AG4:AH4" si="1">H8</f>
        <v>1</v>
      </c>
      <c r="AH4" t="str">
        <f t="shared" si="1"/>
        <v>C1</v>
      </c>
      <c r="AI4" t="s">
        <v>217</v>
      </c>
      <c r="AJ4" s="23" t="s">
        <v>17</v>
      </c>
    </row>
    <row r="5" spans="1:38" ht="17" thickBot="1" x14ac:dyDescent="0.25">
      <c r="B5" s="14" t="s">
        <v>221</v>
      </c>
      <c r="C5" s="7">
        <v>50</v>
      </c>
      <c r="F5" s="12"/>
      <c r="G5" s="20"/>
      <c r="H5" s="12"/>
      <c r="I5" s="12"/>
      <c r="J5" s="12"/>
      <c r="M5" s="2"/>
      <c r="N5" s="24"/>
      <c r="O5" s="22"/>
      <c r="P5" s="22"/>
      <c r="Q5" s="24"/>
      <c r="R5" s="22"/>
      <c r="S5" s="22"/>
      <c r="T5" s="24"/>
      <c r="U5" s="24"/>
      <c r="V5" s="22"/>
      <c r="W5" s="24"/>
      <c r="X5" s="24"/>
      <c r="Y5" s="22"/>
      <c r="AJ5" s="23"/>
    </row>
    <row r="6" spans="1:38" ht="17" thickBot="1" x14ac:dyDescent="0.25">
      <c r="B6" s="14" t="s">
        <v>2</v>
      </c>
      <c r="C6" s="7">
        <v>1.5</v>
      </c>
      <c r="F6" s="16">
        <v>1</v>
      </c>
      <c r="G6" s="18" t="s">
        <v>130</v>
      </c>
      <c r="H6" s="17">
        <v>1</v>
      </c>
      <c r="I6" s="17" t="s">
        <v>15</v>
      </c>
      <c r="J6" s="17">
        <v>65.388000000000005</v>
      </c>
      <c r="M6" s="3" t="s">
        <v>7</v>
      </c>
      <c r="N6" s="5" t="str">
        <f>G6</f>
        <v>1-1</v>
      </c>
      <c r="O6" s="6" t="str">
        <f>G14</f>
        <v>1-9</v>
      </c>
      <c r="P6" s="6" t="str">
        <f>G23</f>
        <v>2-3</v>
      </c>
      <c r="Q6" s="5" t="str">
        <f>G31</f>
        <v>2-11</v>
      </c>
      <c r="R6" s="6" t="str">
        <f>G39</f>
        <v>3-4</v>
      </c>
      <c r="S6" s="6" t="str">
        <f>G47</f>
        <v>3-12</v>
      </c>
      <c r="T6" s="5" t="str">
        <f>G55</f>
        <v>4-5</v>
      </c>
      <c r="U6" s="5" t="str">
        <f>G63</f>
        <v>4-13</v>
      </c>
      <c r="V6" s="6" t="str">
        <f>G71</f>
        <v>5-6</v>
      </c>
      <c r="W6" s="5" t="str">
        <f>G79</f>
        <v>5-14</v>
      </c>
      <c r="X6" s="5" t="str">
        <f>G87</f>
        <v>6-7</v>
      </c>
      <c r="Y6" s="6" t="str">
        <f>G95</f>
        <v>6-15</v>
      </c>
      <c r="AG6">
        <f t="shared" ref="AG6:AH6" si="2">H9</f>
        <v>1</v>
      </c>
      <c r="AH6" t="str">
        <f t="shared" si="2"/>
        <v>D1</v>
      </c>
      <c r="AI6" t="s">
        <v>217</v>
      </c>
      <c r="AJ6" s="23" t="s">
        <v>18</v>
      </c>
    </row>
    <row r="7" spans="1:38" ht="17" thickBot="1" x14ac:dyDescent="0.25">
      <c r="B7" s="15" t="s">
        <v>3</v>
      </c>
      <c r="C7" s="8">
        <v>0.5</v>
      </c>
      <c r="F7" s="16">
        <v>2</v>
      </c>
      <c r="G7" s="18" t="s">
        <v>131</v>
      </c>
      <c r="H7" s="17">
        <v>1</v>
      </c>
      <c r="I7" s="17" t="s">
        <v>16</v>
      </c>
      <c r="J7" s="17">
        <v>129.92099999999999</v>
      </c>
      <c r="M7" s="4" t="s">
        <v>8</v>
      </c>
      <c r="N7" s="5" t="str">
        <f t="shared" ref="N7:N12" si="3">G7</f>
        <v>1-2</v>
      </c>
      <c r="O7" s="6" t="str">
        <f t="shared" ref="O7:O13" si="4">G15</f>
        <v>1-10</v>
      </c>
      <c r="P7" s="6" t="str">
        <f t="shared" ref="P7:P13" si="5">G24</f>
        <v>2-4</v>
      </c>
      <c r="Q7" s="5" t="str">
        <f t="shared" ref="Q7:Q13" si="6">G32</f>
        <v>2-12</v>
      </c>
      <c r="R7" s="6" t="str">
        <f t="shared" ref="R7:R13" si="7">G40</f>
        <v>3-5</v>
      </c>
      <c r="S7" s="6" t="str">
        <f t="shared" ref="S7:S13" si="8">G48</f>
        <v>3-13</v>
      </c>
      <c r="T7" s="5" t="str">
        <f t="shared" ref="T7:T13" si="9">G56</f>
        <v>4-6</v>
      </c>
      <c r="U7" s="5" t="str">
        <f t="shared" ref="U7:U13" si="10">G64</f>
        <v>4-14</v>
      </c>
      <c r="V7" s="6" t="str">
        <f t="shared" ref="V7:V13" si="11">G72</f>
        <v>5-7</v>
      </c>
      <c r="W7" s="5" t="str">
        <f t="shared" ref="W7:W13" si="12">G80</f>
        <v>5-15</v>
      </c>
      <c r="X7" s="5" t="str">
        <f t="shared" ref="X7:X13" si="13">G88</f>
        <v>6-8</v>
      </c>
      <c r="Y7" s="6" t="str">
        <f t="shared" ref="Y7:Y9" si="14">G96</f>
        <v>7-1</v>
      </c>
      <c r="AG7">
        <f t="shared" ref="AG7:AH7" si="15">H10</f>
        <v>1</v>
      </c>
      <c r="AH7" t="str">
        <f t="shared" si="15"/>
        <v>E1</v>
      </c>
      <c r="AI7" t="s">
        <v>217</v>
      </c>
      <c r="AJ7" s="23" t="s">
        <v>19</v>
      </c>
    </row>
    <row r="8" spans="1:38" x14ac:dyDescent="0.2">
      <c r="F8" s="16">
        <v>3</v>
      </c>
      <c r="G8" s="18" t="s">
        <v>132</v>
      </c>
      <c r="H8" s="17">
        <v>1</v>
      </c>
      <c r="I8" s="17" t="s">
        <v>17</v>
      </c>
      <c r="J8" s="17">
        <v>82.635999999999996</v>
      </c>
      <c r="M8" s="4" t="s">
        <v>9</v>
      </c>
      <c r="N8" s="5" t="str">
        <f t="shared" si="3"/>
        <v>1-3</v>
      </c>
      <c r="O8" s="6" t="str">
        <f t="shared" si="4"/>
        <v>1-11</v>
      </c>
      <c r="P8" s="6" t="str">
        <f t="shared" si="5"/>
        <v>2-5</v>
      </c>
      <c r="Q8" s="5" t="str">
        <f t="shared" si="6"/>
        <v>2-13</v>
      </c>
      <c r="R8" s="6" t="str">
        <f t="shared" si="7"/>
        <v>3-6</v>
      </c>
      <c r="S8" s="6" t="str">
        <f t="shared" si="8"/>
        <v>3-14</v>
      </c>
      <c r="T8" s="5" t="str">
        <f t="shared" si="9"/>
        <v>4-7</v>
      </c>
      <c r="U8" s="5" t="str">
        <f t="shared" si="10"/>
        <v>4-15</v>
      </c>
      <c r="V8" s="6" t="str">
        <f t="shared" si="11"/>
        <v>5-8</v>
      </c>
      <c r="W8" s="5" t="str">
        <f t="shared" si="12"/>
        <v>6-1</v>
      </c>
      <c r="X8" s="5" t="str">
        <f t="shared" si="13"/>
        <v>6-9</v>
      </c>
      <c r="Y8" s="6" t="str">
        <f t="shared" si="14"/>
        <v>7-2</v>
      </c>
      <c r="AG8">
        <f t="shared" ref="AG8:AH8" si="16">H11</f>
        <v>1</v>
      </c>
      <c r="AH8" t="str">
        <f t="shared" si="16"/>
        <v>F1</v>
      </c>
      <c r="AI8" t="s">
        <v>217</v>
      </c>
      <c r="AJ8" s="23" t="s">
        <v>20</v>
      </c>
    </row>
    <row r="9" spans="1:38" x14ac:dyDescent="0.2">
      <c r="F9" s="16">
        <v>4</v>
      </c>
      <c r="G9" s="18" t="s">
        <v>133</v>
      </c>
      <c r="H9" s="17">
        <v>1</v>
      </c>
      <c r="I9" s="17" t="s">
        <v>18</v>
      </c>
      <c r="J9" s="17">
        <v>161.542</v>
      </c>
      <c r="M9" s="4" t="s">
        <v>10</v>
      </c>
      <c r="N9" s="5" t="str">
        <f t="shared" si="3"/>
        <v>1-4</v>
      </c>
      <c r="O9" s="6" t="str">
        <f t="shared" si="4"/>
        <v>1-12</v>
      </c>
      <c r="P9" s="6" t="str">
        <f t="shared" si="5"/>
        <v>2-6</v>
      </c>
      <c r="Q9" s="5" t="str">
        <f t="shared" si="6"/>
        <v>2-14</v>
      </c>
      <c r="R9" s="6" t="str">
        <f t="shared" si="7"/>
        <v>3-7</v>
      </c>
      <c r="S9" s="6" t="str">
        <f t="shared" si="8"/>
        <v>3-15</v>
      </c>
      <c r="T9" s="5" t="str">
        <f t="shared" si="9"/>
        <v>4-8</v>
      </c>
      <c r="U9" s="5" t="str">
        <f t="shared" si="10"/>
        <v>5-1</v>
      </c>
      <c r="V9" s="6" t="str">
        <f t="shared" si="11"/>
        <v>5-9</v>
      </c>
      <c r="W9" s="5" t="str">
        <f t="shared" si="12"/>
        <v>6-2</v>
      </c>
      <c r="X9" s="5" t="str">
        <f t="shared" si="13"/>
        <v>6-10</v>
      </c>
      <c r="Y9" s="6">
        <f t="shared" si="14"/>
        <v>0</v>
      </c>
      <c r="AG9">
        <f t="shared" ref="AG9:AH9" si="17">H12</f>
        <v>1</v>
      </c>
      <c r="AH9" t="str">
        <f t="shared" si="17"/>
        <v>G1</v>
      </c>
      <c r="AI9" t="s">
        <v>217</v>
      </c>
      <c r="AJ9" s="23" t="s">
        <v>220</v>
      </c>
    </row>
    <row r="10" spans="1:38" x14ac:dyDescent="0.2">
      <c r="C10" s="11" t="s">
        <v>107</v>
      </c>
      <c r="D10" t="s">
        <v>117</v>
      </c>
      <c r="F10" s="16">
        <v>5</v>
      </c>
      <c r="G10" s="18" t="s">
        <v>134</v>
      </c>
      <c r="H10" s="17">
        <v>1</v>
      </c>
      <c r="I10" s="17" t="s">
        <v>19</v>
      </c>
      <c r="J10" s="17">
        <v>63.16</v>
      </c>
      <c r="M10" s="4" t="s">
        <v>11</v>
      </c>
      <c r="N10" s="5" t="str">
        <f t="shared" si="3"/>
        <v>1-5</v>
      </c>
      <c r="O10" s="6" t="str">
        <f t="shared" si="4"/>
        <v>1-13</v>
      </c>
      <c r="P10" s="6" t="str">
        <f t="shared" si="5"/>
        <v>2-7</v>
      </c>
      <c r="Q10" s="5" t="str">
        <f t="shared" si="6"/>
        <v>2-15</v>
      </c>
      <c r="R10" s="6" t="str">
        <f t="shared" si="7"/>
        <v>3-8</v>
      </c>
      <c r="S10" s="6" t="str">
        <f t="shared" si="8"/>
        <v>4-1</v>
      </c>
      <c r="T10" s="5" t="str">
        <f t="shared" si="9"/>
        <v>4-9</v>
      </c>
      <c r="U10" s="5" t="str">
        <f t="shared" si="10"/>
        <v>5-2</v>
      </c>
      <c r="V10" s="6" t="str">
        <f t="shared" si="11"/>
        <v>5-10</v>
      </c>
      <c r="W10" s="5" t="str">
        <f t="shared" si="12"/>
        <v>6-3</v>
      </c>
      <c r="X10" s="5" t="str">
        <f t="shared" si="13"/>
        <v>6-11</v>
      </c>
      <c r="Y10" s="9" t="s">
        <v>121</v>
      </c>
      <c r="AG10">
        <f t="shared" ref="AG10:AH10" si="18">H13</f>
        <v>1</v>
      </c>
      <c r="AH10" t="str">
        <f t="shared" si="18"/>
        <v>H1</v>
      </c>
      <c r="AI10" t="s">
        <v>217</v>
      </c>
      <c r="AJ10" s="23" t="s">
        <v>22</v>
      </c>
    </row>
    <row r="11" spans="1:38" x14ac:dyDescent="0.2">
      <c r="B11" t="s">
        <v>110</v>
      </c>
      <c r="C11" s="11">
        <v>1</v>
      </c>
      <c r="D11" t="s">
        <v>47</v>
      </c>
      <c r="F11" s="16">
        <v>6</v>
      </c>
      <c r="G11" s="18" t="s">
        <v>135</v>
      </c>
      <c r="H11" s="17">
        <v>1</v>
      </c>
      <c r="I11" s="17" t="s">
        <v>20</v>
      </c>
      <c r="J11" s="17">
        <v>47.783000000000001</v>
      </c>
      <c r="M11" s="4" t="s">
        <v>12</v>
      </c>
      <c r="N11" s="5" t="str">
        <f t="shared" si="3"/>
        <v>1-6</v>
      </c>
      <c r="O11" s="6" t="str">
        <f t="shared" si="4"/>
        <v>1-14</v>
      </c>
      <c r="P11" s="6" t="str">
        <f t="shared" si="5"/>
        <v>2-8</v>
      </c>
      <c r="Q11" s="5" t="str">
        <f t="shared" si="6"/>
        <v>3-1</v>
      </c>
      <c r="R11" s="6" t="str">
        <f t="shared" si="7"/>
        <v>3-9</v>
      </c>
      <c r="S11" s="6" t="str">
        <f t="shared" si="8"/>
        <v>4-2</v>
      </c>
      <c r="T11" s="5" t="str">
        <f t="shared" si="9"/>
        <v>4-10</v>
      </c>
      <c r="U11" s="5" t="str">
        <f t="shared" si="10"/>
        <v>5-3</v>
      </c>
      <c r="V11" s="6" t="str">
        <f t="shared" si="11"/>
        <v>5-11</v>
      </c>
      <c r="W11" s="5" t="str">
        <f t="shared" si="12"/>
        <v>6-4</v>
      </c>
      <c r="X11" s="5" t="str">
        <f t="shared" si="13"/>
        <v>6-12</v>
      </c>
      <c r="Y11" s="10" t="s">
        <v>120</v>
      </c>
      <c r="AG11">
        <f t="shared" ref="AG11:AH11" si="19">H14</f>
        <v>1</v>
      </c>
      <c r="AH11" t="str">
        <f t="shared" si="19"/>
        <v>A2</v>
      </c>
      <c r="AI11" t="s">
        <v>217</v>
      </c>
      <c r="AJ11" s="23" t="s">
        <v>23</v>
      </c>
    </row>
    <row r="12" spans="1:38" x14ac:dyDescent="0.2">
      <c r="B12" t="s">
        <v>111</v>
      </c>
      <c r="C12" s="11">
        <v>2</v>
      </c>
      <c r="D12" t="s">
        <v>72</v>
      </c>
      <c r="F12" s="16">
        <v>7</v>
      </c>
      <c r="G12" s="18" t="s">
        <v>136</v>
      </c>
      <c r="H12" s="17">
        <v>1</v>
      </c>
      <c r="I12" s="17" t="s">
        <v>21</v>
      </c>
      <c r="J12" s="17">
        <v>152.77500000000001</v>
      </c>
      <c r="M12" s="4" t="s">
        <v>13</v>
      </c>
      <c r="N12" s="5" t="str">
        <f t="shared" si="3"/>
        <v>1-7</v>
      </c>
      <c r="O12" s="6" t="str">
        <f t="shared" si="4"/>
        <v>1-15</v>
      </c>
      <c r="P12" s="6" t="str">
        <f t="shared" si="5"/>
        <v>2-9</v>
      </c>
      <c r="Q12" s="5" t="str">
        <f t="shared" si="6"/>
        <v>3-2</v>
      </c>
      <c r="R12" s="6" t="str">
        <f t="shared" si="7"/>
        <v>3-10</v>
      </c>
      <c r="S12" s="6" t="str">
        <f t="shared" si="8"/>
        <v>4-3</v>
      </c>
      <c r="T12" s="5" t="str">
        <f t="shared" si="9"/>
        <v>4-11</v>
      </c>
      <c r="U12" s="5" t="str">
        <f t="shared" si="10"/>
        <v>5-4</v>
      </c>
      <c r="V12" s="6" t="str">
        <f t="shared" si="11"/>
        <v>5-12</v>
      </c>
      <c r="W12" s="5" t="str">
        <f t="shared" si="12"/>
        <v>6-5</v>
      </c>
      <c r="X12" s="5" t="str">
        <f t="shared" si="13"/>
        <v>6-13</v>
      </c>
      <c r="Y12" s="9" t="s">
        <v>119</v>
      </c>
      <c r="AG12">
        <f t="shared" ref="AG12:AH12" si="20">H15</f>
        <v>1</v>
      </c>
      <c r="AH12" t="str">
        <f t="shared" si="20"/>
        <v>B2</v>
      </c>
      <c r="AI12" t="s">
        <v>217</v>
      </c>
      <c r="AJ12" s="23" t="s">
        <v>24</v>
      </c>
    </row>
    <row r="13" spans="1:38" x14ac:dyDescent="0.2">
      <c r="F13" s="16">
        <v>8</v>
      </c>
      <c r="G13" s="18" t="s">
        <v>137</v>
      </c>
      <c r="H13" s="17">
        <v>1</v>
      </c>
      <c r="I13" s="17" t="s">
        <v>22</v>
      </c>
      <c r="J13" s="17">
        <v>131.43299999999999</v>
      </c>
      <c r="M13" s="4" t="s">
        <v>14</v>
      </c>
      <c r="N13" s="5" t="str">
        <f>G13</f>
        <v>1-8</v>
      </c>
      <c r="O13" s="6" t="str">
        <f t="shared" si="4"/>
        <v>2-1</v>
      </c>
      <c r="P13" s="6" t="str">
        <f t="shared" si="5"/>
        <v>2-10</v>
      </c>
      <c r="Q13" s="5" t="str">
        <f t="shared" si="6"/>
        <v>3-3</v>
      </c>
      <c r="R13" s="6" t="str">
        <f t="shared" si="7"/>
        <v>3-11</v>
      </c>
      <c r="S13" s="6" t="str">
        <f t="shared" si="8"/>
        <v>4-4</v>
      </c>
      <c r="T13" s="5" t="str">
        <f t="shared" si="9"/>
        <v>4-12</v>
      </c>
      <c r="U13" s="5" t="str">
        <f t="shared" si="10"/>
        <v>5-5</v>
      </c>
      <c r="V13" s="6" t="str">
        <f t="shared" si="11"/>
        <v>5-13</v>
      </c>
      <c r="W13" s="5" t="str">
        <f t="shared" si="12"/>
        <v>6-6</v>
      </c>
      <c r="X13" s="5" t="str">
        <f t="shared" si="13"/>
        <v>6-14</v>
      </c>
      <c r="Y13" s="10" t="s">
        <v>118</v>
      </c>
      <c r="AG13">
        <f t="shared" ref="AG13:AH13" si="21">H16</f>
        <v>1</v>
      </c>
      <c r="AH13" t="str">
        <f t="shared" si="21"/>
        <v>C2</v>
      </c>
      <c r="AI13" t="s">
        <v>217</v>
      </c>
      <c r="AJ13" s="23" t="s">
        <v>25</v>
      </c>
    </row>
    <row r="14" spans="1:38" x14ac:dyDescent="0.2">
      <c r="A14" t="s">
        <v>112</v>
      </c>
      <c r="C14" s="11" t="s">
        <v>107</v>
      </c>
      <c r="D14" t="s">
        <v>117</v>
      </c>
      <c r="F14" s="16">
        <v>9</v>
      </c>
      <c r="G14" s="18" t="s">
        <v>138</v>
      </c>
      <c r="H14" s="17">
        <v>1</v>
      </c>
      <c r="I14" s="17" t="s">
        <v>23</v>
      </c>
      <c r="J14" s="17">
        <v>12.853999999999999</v>
      </c>
      <c r="AG14">
        <f t="shared" ref="AG14:AH14" si="22">H17</f>
        <v>1</v>
      </c>
      <c r="AH14" t="str">
        <f t="shared" si="22"/>
        <v>D2</v>
      </c>
      <c r="AI14" t="s">
        <v>217</v>
      </c>
      <c r="AJ14" s="23" t="s">
        <v>26</v>
      </c>
    </row>
    <row r="15" spans="1:38" x14ac:dyDescent="0.2">
      <c r="F15" s="16">
        <v>10</v>
      </c>
      <c r="G15" s="18" t="s">
        <v>139</v>
      </c>
      <c r="H15" s="17">
        <v>1</v>
      </c>
      <c r="I15" s="17" t="s">
        <v>24</v>
      </c>
      <c r="J15" s="17">
        <v>37.659999999999997</v>
      </c>
      <c r="AG15">
        <f t="shared" ref="AG15:AH15" si="23">H18</f>
        <v>1</v>
      </c>
      <c r="AH15" t="str">
        <f t="shared" si="23"/>
        <v>E2</v>
      </c>
      <c r="AI15" t="s">
        <v>217</v>
      </c>
      <c r="AJ15" s="23" t="s">
        <v>27</v>
      </c>
    </row>
    <row r="16" spans="1:38" x14ac:dyDescent="0.2">
      <c r="F16" s="16">
        <v>11</v>
      </c>
      <c r="G16" s="18" t="s">
        <v>140</v>
      </c>
      <c r="H16" s="17">
        <v>1</v>
      </c>
      <c r="I16" s="17" t="s">
        <v>25</v>
      </c>
      <c r="J16" s="17">
        <v>39.875</v>
      </c>
      <c r="AG16">
        <f t="shared" ref="AG16:AH16" si="24">H19</f>
        <v>1</v>
      </c>
      <c r="AH16" t="str">
        <f t="shared" si="24"/>
        <v>F2</v>
      </c>
      <c r="AI16" t="s">
        <v>217</v>
      </c>
      <c r="AJ16" s="23" t="s">
        <v>28</v>
      </c>
    </row>
    <row r="17" spans="6:36" x14ac:dyDescent="0.2">
      <c r="F17" s="16">
        <v>12</v>
      </c>
      <c r="G17" s="18" t="s">
        <v>141</v>
      </c>
      <c r="H17" s="17">
        <v>1</v>
      </c>
      <c r="I17" s="17" t="s">
        <v>26</v>
      </c>
      <c r="J17" s="17">
        <v>124.4</v>
      </c>
      <c r="AG17">
        <f t="shared" ref="AG17:AH17" si="25">H20</f>
        <v>1</v>
      </c>
      <c r="AH17" t="str">
        <f t="shared" si="25"/>
        <v>G2</v>
      </c>
      <c r="AI17" t="s">
        <v>217</v>
      </c>
      <c r="AJ17" s="23" t="s">
        <v>29</v>
      </c>
    </row>
    <row r="18" spans="6:36" x14ac:dyDescent="0.2">
      <c r="F18" s="16">
        <v>13</v>
      </c>
      <c r="G18" s="18" t="s">
        <v>142</v>
      </c>
      <c r="H18" s="17">
        <v>1</v>
      </c>
      <c r="I18" s="17" t="s">
        <v>27</v>
      </c>
      <c r="J18" s="17">
        <v>201.09</v>
      </c>
      <c r="AG18">
        <f t="shared" ref="AG18:AH18" si="26">H21</f>
        <v>1</v>
      </c>
      <c r="AH18" t="str">
        <f t="shared" si="26"/>
        <v>H2</v>
      </c>
      <c r="AI18" t="s">
        <v>217</v>
      </c>
      <c r="AJ18" s="23" t="s">
        <v>30</v>
      </c>
    </row>
    <row r="19" spans="6:36" x14ac:dyDescent="0.2">
      <c r="F19" s="16">
        <v>14</v>
      </c>
      <c r="G19" s="18" t="s">
        <v>143</v>
      </c>
      <c r="H19" s="17">
        <v>1</v>
      </c>
      <c r="I19" s="17" t="s">
        <v>28</v>
      </c>
      <c r="J19" s="17">
        <v>4.9089999999999998</v>
      </c>
      <c r="AG19">
        <f t="shared" ref="AG19:AH19" si="27">H22</f>
        <v>1</v>
      </c>
      <c r="AH19" t="str">
        <f t="shared" si="27"/>
        <v>A3</v>
      </c>
      <c r="AI19" t="s">
        <v>217</v>
      </c>
      <c r="AJ19" s="23" t="s">
        <v>31</v>
      </c>
    </row>
    <row r="20" spans="6:36" x14ac:dyDescent="0.2">
      <c r="F20" s="16">
        <v>15</v>
      </c>
      <c r="G20" s="18" t="s">
        <v>144</v>
      </c>
      <c r="H20" s="17">
        <v>1</v>
      </c>
      <c r="I20" s="17" t="s">
        <v>29</v>
      </c>
      <c r="J20" s="17">
        <v>38.959000000000003</v>
      </c>
      <c r="AG20">
        <f t="shared" ref="AG20:AH20" si="28">H23</f>
        <v>1</v>
      </c>
      <c r="AH20" t="str">
        <f t="shared" si="28"/>
        <v>B3</v>
      </c>
      <c r="AI20" t="s">
        <v>217</v>
      </c>
      <c r="AJ20" s="23" t="s">
        <v>32</v>
      </c>
    </row>
    <row r="21" spans="6:36" x14ac:dyDescent="0.2">
      <c r="F21" s="16">
        <v>16</v>
      </c>
      <c r="G21" s="18" t="s">
        <v>145</v>
      </c>
      <c r="H21" s="17">
        <v>1</v>
      </c>
      <c r="I21" s="17" t="s">
        <v>30</v>
      </c>
      <c r="J21" s="17">
        <v>53.558999999999997</v>
      </c>
      <c r="AG21">
        <f t="shared" ref="AG21:AH21" si="29">H24</f>
        <v>1</v>
      </c>
      <c r="AH21" t="str">
        <f t="shared" si="29"/>
        <v>C3</v>
      </c>
      <c r="AI21" t="s">
        <v>217</v>
      </c>
      <c r="AJ21" s="23" t="s">
        <v>33</v>
      </c>
    </row>
    <row r="22" spans="6:36" x14ac:dyDescent="0.2">
      <c r="F22" s="16">
        <v>17</v>
      </c>
      <c r="G22" s="18" t="s">
        <v>146</v>
      </c>
      <c r="H22" s="17">
        <v>1</v>
      </c>
      <c r="I22" s="17" t="s">
        <v>31</v>
      </c>
      <c r="J22" s="17">
        <v>40.802999999999997</v>
      </c>
      <c r="AG22">
        <f t="shared" ref="AG22:AH22" si="30">H25</f>
        <v>1</v>
      </c>
      <c r="AH22" t="str">
        <f t="shared" si="30"/>
        <v>D3</v>
      </c>
      <c r="AI22" t="s">
        <v>217</v>
      </c>
      <c r="AJ22" s="23" t="s">
        <v>34</v>
      </c>
    </row>
    <row r="23" spans="6:36" x14ac:dyDescent="0.2">
      <c r="F23" s="16">
        <v>18</v>
      </c>
      <c r="G23" s="18" t="s">
        <v>147</v>
      </c>
      <c r="H23" s="17">
        <v>1</v>
      </c>
      <c r="I23" s="17" t="s">
        <v>32</v>
      </c>
      <c r="J23" s="17">
        <v>29.44</v>
      </c>
      <c r="AG23">
        <f t="shared" ref="AG23:AH23" si="31">H26</f>
        <v>1</v>
      </c>
      <c r="AH23" t="str">
        <f t="shared" si="31"/>
        <v>E3</v>
      </c>
      <c r="AI23" t="s">
        <v>217</v>
      </c>
      <c r="AJ23" s="23" t="s">
        <v>35</v>
      </c>
    </row>
    <row r="24" spans="6:36" x14ac:dyDescent="0.2">
      <c r="F24" s="16">
        <v>19</v>
      </c>
      <c r="G24" s="18" t="s">
        <v>148</v>
      </c>
      <c r="H24" s="17">
        <v>1</v>
      </c>
      <c r="I24" s="17" t="s">
        <v>33</v>
      </c>
      <c r="J24" s="17">
        <v>28.085999999999999</v>
      </c>
      <c r="AG24">
        <f t="shared" ref="AG24:AH24" si="32">H27</f>
        <v>1</v>
      </c>
      <c r="AH24" t="str">
        <f t="shared" si="32"/>
        <v>F3</v>
      </c>
      <c r="AI24" t="s">
        <v>217</v>
      </c>
      <c r="AJ24" s="23" t="s">
        <v>36</v>
      </c>
    </row>
    <row r="25" spans="6:36" x14ac:dyDescent="0.2">
      <c r="F25" s="16">
        <v>20</v>
      </c>
      <c r="G25" s="18" t="s">
        <v>149</v>
      </c>
      <c r="H25" s="17">
        <v>1</v>
      </c>
      <c r="I25" s="17" t="s">
        <v>34</v>
      </c>
      <c r="J25" s="17">
        <v>146.78399999999999</v>
      </c>
      <c r="AG25">
        <f t="shared" ref="AG25:AH25" si="33">H28</f>
        <v>1</v>
      </c>
      <c r="AH25" t="str">
        <f t="shared" si="33"/>
        <v>G3</v>
      </c>
      <c r="AI25" t="s">
        <v>217</v>
      </c>
      <c r="AJ25" s="23" t="s">
        <v>37</v>
      </c>
    </row>
    <row r="26" spans="6:36" x14ac:dyDescent="0.2">
      <c r="F26" s="16">
        <v>21</v>
      </c>
      <c r="G26" s="18" t="s">
        <v>150</v>
      </c>
      <c r="H26" s="17">
        <v>1</v>
      </c>
      <c r="I26" s="17" t="s">
        <v>35</v>
      </c>
      <c r="J26" s="17">
        <v>50.024000000000001</v>
      </c>
      <c r="AG26">
        <f t="shared" ref="AG26:AH26" si="34">H29</f>
        <v>1</v>
      </c>
      <c r="AH26" t="str">
        <f t="shared" si="34"/>
        <v>H3</v>
      </c>
      <c r="AI26" t="s">
        <v>217</v>
      </c>
      <c r="AJ26" s="23" t="s">
        <v>38</v>
      </c>
    </row>
    <row r="27" spans="6:36" x14ac:dyDescent="0.2">
      <c r="F27" s="16">
        <v>22</v>
      </c>
      <c r="G27" s="18" t="s">
        <v>151</v>
      </c>
      <c r="H27" s="17">
        <v>1</v>
      </c>
      <c r="I27" s="17" t="s">
        <v>36</v>
      </c>
      <c r="J27" s="17">
        <v>108.236</v>
      </c>
      <c r="AG27">
        <f t="shared" ref="AG27:AH27" si="35">H30</f>
        <v>1</v>
      </c>
      <c r="AH27" t="str">
        <f t="shared" si="35"/>
        <v>A4</v>
      </c>
      <c r="AI27" t="s">
        <v>217</v>
      </c>
      <c r="AJ27" s="23" t="s">
        <v>39</v>
      </c>
    </row>
    <row r="28" spans="6:36" x14ac:dyDescent="0.2">
      <c r="F28" s="16">
        <v>23</v>
      </c>
      <c r="G28" s="18" t="s">
        <v>152</v>
      </c>
      <c r="H28" s="17">
        <v>1</v>
      </c>
      <c r="I28" s="17" t="s">
        <v>37</v>
      </c>
      <c r="J28" s="17">
        <v>155.15799999999999</v>
      </c>
      <c r="AG28">
        <f t="shared" ref="AG28:AH28" si="36">H31</f>
        <v>2</v>
      </c>
      <c r="AH28" t="str">
        <f t="shared" si="36"/>
        <v>B4</v>
      </c>
      <c r="AI28" t="s">
        <v>217</v>
      </c>
      <c r="AJ28" s="23" t="s">
        <v>40</v>
      </c>
    </row>
    <row r="29" spans="6:36" x14ac:dyDescent="0.2">
      <c r="F29" s="16">
        <v>24</v>
      </c>
      <c r="G29" s="18" t="s">
        <v>153</v>
      </c>
      <c r="H29" s="17">
        <v>1</v>
      </c>
      <c r="I29" s="17" t="s">
        <v>38</v>
      </c>
      <c r="J29" s="17">
        <v>270.18200000000002</v>
      </c>
      <c r="AG29">
        <f t="shared" ref="AG29:AH29" si="37">H32</f>
        <v>2</v>
      </c>
      <c r="AH29" t="str">
        <f t="shared" si="37"/>
        <v>C4</v>
      </c>
      <c r="AI29" t="s">
        <v>217</v>
      </c>
      <c r="AJ29" s="23" t="s">
        <v>41</v>
      </c>
    </row>
    <row r="30" spans="6:36" x14ac:dyDescent="0.2">
      <c r="F30" s="16">
        <v>25</v>
      </c>
      <c r="G30" s="18" t="s">
        <v>154</v>
      </c>
      <c r="H30" s="17">
        <v>1</v>
      </c>
      <c r="I30" s="17" t="s">
        <v>39</v>
      </c>
      <c r="J30" s="17">
        <v>86.277000000000001</v>
      </c>
      <c r="AG30">
        <f t="shared" ref="AG30:AH30" si="38">H33</f>
        <v>2</v>
      </c>
      <c r="AH30" t="str">
        <f t="shared" si="38"/>
        <v>D4</v>
      </c>
      <c r="AI30" t="s">
        <v>217</v>
      </c>
      <c r="AJ30" s="23" t="s">
        <v>42</v>
      </c>
    </row>
    <row r="31" spans="6:36" x14ac:dyDescent="0.2">
      <c r="F31" s="16">
        <v>26</v>
      </c>
      <c r="G31" s="18" t="s">
        <v>155</v>
      </c>
      <c r="H31" s="17">
        <v>2</v>
      </c>
      <c r="I31" s="17" t="s">
        <v>40</v>
      </c>
      <c r="J31" s="17">
        <v>160.27799999999999</v>
      </c>
      <c r="AG31">
        <f t="shared" ref="AG31:AH31" si="39">H34</f>
        <v>2</v>
      </c>
      <c r="AH31" t="str">
        <f t="shared" si="39"/>
        <v>E4</v>
      </c>
      <c r="AI31" t="s">
        <v>217</v>
      </c>
      <c r="AJ31" s="23" t="s">
        <v>43</v>
      </c>
    </row>
    <row r="32" spans="6:36" x14ac:dyDescent="0.2">
      <c r="F32" s="16">
        <v>27</v>
      </c>
      <c r="G32" s="18" t="s">
        <v>156</v>
      </c>
      <c r="H32" s="17">
        <v>2</v>
      </c>
      <c r="I32" s="17" t="s">
        <v>41</v>
      </c>
      <c r="J32" s="17">
        <v>90.667000000000002</v>
      </c>
      <c r="AG32">
        <f t="shared" ref="AG32:AH32" si="40">H35</f>
        <v>2</v>
      </c>
      <c r="AH32" t="str">
        <f t="shared" si="40"/>
        <v>F4</v>
      </c>
      <c r="AI32" t="s">
        <v>217</v>
      </c>
      <c r="AJ32" s="23" t="s">
        <v>44</v>
      </c>
    </row>
    <row r="33" spans="6:36" x14ac:dyDescent="0.2">
      <c r="F33" s="16">
        <v>28</v>
      </c>
      <c r="G33" s="18" t="s">
        <v>157</v>
      </c>
      <c r="H33" s="17">
        <v>2</v>
      </c>
      <c r="I33" s="17" t="s">
        <v>42</v>
      </c>
      <c r="J33" s="17">
        <v>61.499000000000002</v>
      </c>
      <c r="AG33">
        <f t="shared" ref="AG33:AH33" si="41">H36</f>
        <v>2</v>
      </c>
      <c r="AH33" t="str">
        <f t="shared" si="41"/>
        <v>G4</v>
      </c>
      <c r="AI33" t="s">
        <v>217</v>
      </c>
      <c r="AJ33" s="23" t="s">
        <v>45</v>
      </c>
    </row>
    <row r="34" spans="6:36" x14ac:dyDescent="0.2">
      <c r="F34" s="16">
        <v>29</v>
      </c>
      <c r="G34" s="18" t="s">
        <v>158</v>
      </c>
      <c r="H34" s="17">
        <v>2</v>
      </c>
      <c r="I34" s="17" t="s">
        <v>43</v>
      </c>
      <c r="J34" s="17">
        <v>36.381</v>
      </c>
      <c r="AG34">
        <f t="shared" ref="AG34:AH34" si="42">H37</f>
        <v>2</v>
      </c>
      <c r="AH34" t="str">
        <f t="shared" si="42"/>
        <v>H4</v>
      </c>
      <c r="AI34" t="s">
        <v>217</v>
      </c>
      <c r="AJ34" s="23" t="s">
        <v>46</v>
      </c>
    </row>
    <row r="35" spans="6:36" x14ac:dyDescent="0.2">
      <c r="F35" s="16">
        <v>30</v>
      </c>
      <c r="G35" s="18" t="s">
        <v>159</v>
      </c>
      <c r="H35" s="17">
        <v>2</v>
      </c>
      <c r="I35" s="17" t="s">
        <v>44</v>
      </c>
      <c r="J35" s="17">
        <v>137.17599999999999</v>
      </c>
      <c r="AG35">
        <f t="shared" ref="AG35:AH35" si="43">H38</f>
        <v>2</v>
      </c>
      <c r="AH35" t="str">
        <f t="shared" si="43"/>
        <v>A5</v>
      </c>
      <c r="AI35" t="s">
        <v>217</v>
      </c>
      <c r="AJ35" s="23" t="s">
        <v>47</v>
      </c>
    </row>
    <row r="36" spans="6:36" x14ac:dyDescent="0.2">
      <c r="F36" s="16">
        <v>31</v>
      </c>
      <c r="G36" s="18" t="s">
        <v>160</v>
      </c>
      <c r="H36" s="17">
        <v>2</v>
      </c>
      <c r="I36" s="17" t="s">
        <v>45</v>
      </c>
      <c r="J36" s="17">
        <v>206.40799999999999</v>
      </c>
      <c r="AG36">
        <f t="shared" ref="AG36:AH36" si="44">H39</f>
        <v>2</v>
      </c>
      <c r="AH36" t="str">
        <f t="shared" si="44"/>
        <v>B5</v>
      </c>
      <c r="AI36" t="s">
        <v>217</v>
      </c>
      <c r="AJ36" s="23" t="s">
        <v>48</v>
      </c>
    </row>
    <row r="37" spans="6:36" x14ac:dyDescent="0.2">
      <c r="F37" s="16">
        <v>32</v>
      </c>
      <c r="G37" s="18" t="s">
        <v>161</v>
      </c>
      <c r="H37" s="17">
        <v>2</v>
      </c>
      <c r="I37" s="17" t="s">
        <v>46</v>
      </c>
      <c r="J37" s="17">
        <v>110.919</v>
      </c>
      <c r="AG37">
        <f t="shared" ref="AG37:AH37" si="45">H40</f>
        <v>2</v>
      </c>
      <c r="AH37" t="str">
        <f t="shared" si="45"/>
        <v>C5</v>
      </c>
      <c r="AI37" t="s">
        <v>217</v>
      </c>
      <c r="AJ37" s="23" t="s">
        <v>49</v>
      </c>
    </row>
    <row r="38" spans="6:36" x14ac:dyDescent="0.2">
      <c r="F38" s="16">
        <v>33</v>
      </c>
      <c r="G38" s="18" t="s">
        <v>162</v>
      </c>
      <c r="H38" s="17">
        <v>2</v>
      </c>
      <c r="I38" s="17" t="s">
        <v>47</v>
      </c>
      <c r="J38" s="17">
        <v>84.266000000000005</v>
      </c>
      <c r="AG38">
        <f t="shared" ref="AG38:AH38" si="46">H41</f>
        <v>2</v>
      </c>
      <c r="AH38" t="str">
        <f t="shared" si="46"/>
        <v>D5</v>
      </c>
      <c r="AI38" t="s">
        <v>217</v>
      </c>
      <c r="AJ38" s="23" t="s">
        <v>50</v>
      </c>
    </row>
    <row r="39" spans="6:36" x14ac:dyDescent="0.2">
      <c r="F39" s="16">
        <v>34</v>
      </c>
      <c r="G39" s="18" t="s">
        <v>163</v>
      </c>
      <c r="H39" s="17">
        <v>2</v>
      </c>
      <c r="I39" s="17" t="s">
        <v>48</v>
      </c>
      <c r="J39" s="17">
        <v>23.625</v>
      </c>
      <c r="AG39">
        <f t="shared" ref="AG39:AH39" si="47">H42</f>
        <v>2</v>
      </c>
      <c r="AH39" t="str">
        <f t="shared" si="47"/>
        <v>E5</v>
      </c>
      <c r="AI39" t="s">
        <v>217</v>
      </c>
      <c r="AJ39" s="23" t="s">
        <v>51</v>
      </c>
    </row>
    <row r="40" spans="6:36" x14ac:dyDescent="0.2">
      <c r="F40" s="16">
        <v>35</v>
      </c>
      <c r="G40" s="18" t="s">
        <v>164</v>
      </c>
      <c r="H40" s="17">
        <v>2</v>
      </c>
      <c r="I40" s="17" t="s">
        <v>49</v>
      </c>
      <c r="J40" s="17">
        <v>121.336</v>
      </c>
      <c r="AG40">
        <f t="shared" ref="AG40:AH40" si="48">H43</f>
        <v>2</v>
      </c>
      <c r="AH40" t="str">
        <f t="shared" si="48"/>
        <v>F5</v>
      </c>
      <c r="AI40" t="s">
        <v>217</v>
      </c>
      <c r="AJ40" s="23" t="s">
        <v>52</v>
      </c>
    </row>
    <row r="41" spans="6:36" x14ac:dyDescent="0.2">
      <c r="F41" s="16">
        <v>36</v>
      </c>
      <c r="G41" s="18" t="s">
        <v>165</v>
      </c>
      <c r="H41" s="17">
        <v>2</v>
      </c>
      <c r="I41" s="17" t="s">
        <v>50</v>
      </c>
      <c r="J41" s="17">
        <v>49.956000000000003</v>
      </c>
      <c r="AG41">
        <f t="shared" ref="AG41:AH41" si="49">H44</f>
        <v>2</v>
      </c>
      <c r="AH41" t="str">
        <f t="shared" si="49"/>
        <v>G5</v>
      </c>
      <c r="AI41" t="s">
        <v>217</v>
      </c>
      <c r="AJ41" s="23" t="s">
        <v>53</v>
      </c>
    </row>
    <row r="42" spans="6:36" x14ac:dyDescent="0.2">
      <c r="F42" s="16">
        <v>37</v>
      </c>
      <c r="G42" s="18" t="s">
        <v>166</v>
      </c>
      <c r="H42" s="17">
        <v>2</v>
      </c>
      <c r="I42" s="17" t="s">
        <v>51</v>
      </c>
      <c r="J42" s="17">
        <v>134.75899999999999</v>
      </c>
      <c r="AG42">
        <f t="shared" ref="AG42:AH42" si="50">H45</f>
        <v>2</v>
      </c>
      <c r="AH42" t="str">
        <f t="shared" si="50"/>
        <v>H5</v>
      </c>
      <c r="AI42" t="s">
        <v>217</v>
      </c>
      <c r="AJ42" s="23" t="s">
        <v>54</v>
      </c>
    </row>
    <row r="43" spans="6:36" x14ac:dyDescent="0.2">
      <c r="F43" s="16">
        <v>38</v>
      </c>
      <c r="G43" s="18" t="s">
        <v>167</v>
      </c>
      <c r="H43" s="17">
        <v>2</v>
      </c>
      <c r="I43" s="17" t="s">
        <v>52</v>
      </c>
      <c r="J43" s="17">
        <v>59.067</v>
      </c>
      <c r="AG43">
        <f t="shared" ref="AG43:AH43" si="51">H46</f>
        <v>2</v>
      </c>
      <c r="AH43" t="str">
        <f t="shared" si="51"/>
        <v>A6</v>
      </c>
      <c r="AI43" t="s">
        <v>217</v>
      </c>
      <c r="AJ43" s="23" t="s">
        <v>55</v>
      </c>
    </row>
    <row r="44" spans="6:36" x14ac:dyDescent="0.2">
      <c r="F44" s="16">
        <v>39</v>
      </c>
      <c r="G44" s="18" t="s">
        <v>168</v>
      </c>
      <c r="H44" s="17">
        <v>2</v>
      </c>
      <c r="I44" s="17" t="s">
        <v>53</v>
      </c>
      <c r="J44" s="17">
        <v>192.32400000000001</v>
      </c>
      <c r="AG44">
        <f t="shared" ref="AG44:AH44" si="52">H47</f>
        <v>2</v>
      </c>
      <c r="AH44" t="str">
        <f t="shared" si="52"/>
        <v>C6</v>
      </c>
      <c r="AI44" t="s">
        <v>217</v>
      </c>
      <c r="AJ44" s="23" t="s">
        <v>57</v>
      </c>
    </row>
    <row r="45" spans="6:36" x14ac:dyDescent="0.2">
      <c r="F45" s="16">
        <v>40</v>
      </c>
      <c r="G45" s="18" t="s">
        <v>169</v>
      </c>
      <c r="H45" s="17">
        <v>2</v>
      </c>
      <c r="I45" s="17" t="s">
        <v>54</v>
      </c>
      <c r="J45" s="17">
        <v>70.513999999999996</v>
      </c>
      <c r="AG45">
        <f t="shared" ref="AG45:AH45" si="53">H48</f>
        <v>2</v>
      </c>
      <c r="AH45" t="str">
        <f t="shared" si="53"/>
        <v>B6</v>
      </c>
      <c r="AI45" t="s">
        <v>217</v>
      </c>
      <c r="AJ45" s="23" t="s">
        <v>56</v>
      </c>
    </row>
    <row r="46" spans="6:36" x14ac:dyDescent="0.2">
      <c r="F46" s="16">
        <v>41</v>
      </c>
      <c r="G46" s="18" t="s">
        <v>170</v>
      </c>
      <c r="H46" s="17">
        <v>2</v>
      </c>
      <c r="I46" s="17" t="s">
        <v>55</v>
      </c>
      <c r="J46" s="17">
        <v>78.358999999999995</v>
      </c>
      <c r="AG46">
        <f t="shared" ref="AG46:AH46" si="54">H49</f>
        <v>2</v>
      </c>
      <c r="AH46" t="str">
        <f t="shared" si="54"/>
        <v>D6</v>
      </c>
      <c r="AI46" t="s">
        <v>217</v>
      </c>
      <c r="AJ46" s="23" t="s">
        <v>58</v>
      </c>
    </row>
    <row r="47" spans="6:36" x14ac:dyDescent="0.2">
      <c r="F47" s="16">
        <v>42</v>
      </c>
      <c r="G47" s="18" t="s">
        <v>171</v>
      </c>
      <c r="H47" s="17">
        <v>2</v>
      </c>
      <c r="I47" s="17" t="s">
        <v>56</v>
      </c>
      <c r="J47" s="17">
        <v>160.45099999999999</v>
      </c>
      <c r="AG47">
        <f t="shared" ref="AG47:AH47" si="55">H50</f>
        <v>2</v>
      </c>
      <c r="AH47" t="str">
        <f t="shared" si="55"/>
        <v>E6</v>
      </c>
      <c r="AI47" t="s">
        <v>217</v>
      </c>
      <c r="AJ47" s="23" t="s">
        <v>59</v>
      </c>
    </row>
    <row r="48" spans="6:36" x14ac:dyDescent="0.2">
      <c r="F48" s="16">
        <v>43</v>
      </c>
      <c r="G48" s="18" t="s">
        <v>172</v>
      </c>
      <c r="H48" s="17">
        <v>2</v>
      </c>
      <c r="I48" s="17" t="s">
        <v>57</v>
      </c>
      <c r="J48" s="17">
        <v>66.704999999999998</v>
      </c>
      <c r="AG48">
        <f t="shared" ref="AG48:AH48" si="56">H51</f>
        <v>2</v>
      </c>
      <c r="AH48" t="str">
        <f t="shared" si="56"/>
        <v>F6</v>
      </c>
      <c r="AI48" t="s">
        <v>217</v>
      </c>
      <c r="AJ48" s="23" t="s">
        <v>60</v>
      </c>
    </row>
    <row r="49" spans="6:36" x14ac:dyDescent="0.2">
      <c r="F49" s="16">
        <v>44</v>
      </c>
      <c r="G49" s="18" t="s">
        <v>173</v>
      </c>
      <c r="H49" s="17">
        <v>2</v>
      </c>
      <c r="I49" s="17" t="s">
        <v>58</v>
      </c>
      <c r="J49" s="17">
        <v>67.106999999999999</v>
      </c>
      <c r="AG49">
        <f t="shared" ref="AG49:AH49" si="57">H52</f>
        <v>2</v>
      </c>
      <c r="AH49" t="str">
        <f t="shared" si="57"/>
        <v>G6</v>
      </c>
      <c r="AI49" t="s">
        <v>217</v>
      </c>
      <c r="AJ49" s="23" t="s">
        <v>61</v>
      </c>
    </row>
    <row r="50" spans="6:36" x14ac:dyDescent="0.2">
      <c r="F50" s="16">
        <v>45</v>
      </c>
      <c r="G50" s="18" t="s">
        <v>174</v>
      </c>
      <c r="H50" s="17">
        <v>2</v>
      </c>
      <c r="I50" s="17" t="s">
        <v>59</v>
      </c>
      <c r="J50" s="17">
        <v>118.914</v>
      </c>
      <c r="AG50">
        <f t="shared" ref="AG50:AH50" si="58">H53</f>
        <v>2</v>
      </c>
      <c r="AH50" t="str">
        <f t="shared" si="58"/>
        <v>H6</v>
      </c>
      <c r="AI50" t="s">
        <v>217</v>
      </c>
      <c r="AJ50" s="23" t="s">
        <v>62</v>
      </c>
    </row>
    <row r="51" spans="6:36" x14ac:dyDescent="0.2">
      <c r="F51" s="16">
        <v>46</v>
      </c>
      <c r="G51" s="18" t="s">
        <v>175</v>
      </c>
      <c r="H51" s="17">
        <v>2</v>
      </c>
      <c r="I51" s="17" t="s">
        <v>60</v>
      </c>
      <c r="J51" s="17">
        <v>122.206</v>
      </c>
      <c r="AG51">
        <f t="shared" ref="AG51:AH51" si="59">H54</f>
        <v>2</v>
      </c>
      <c r="AH51" t="str">
        <f t="shared" si="59"/>
        <v>A7</v>
      </c>
      <c r="AI51" t="s">
        <v>217</v>
      </c>
      <c r="AJ51" s="23" t="s">
        <v>63</v>
      </c>
    </row>
    <row r="52" spans="6:36" x14ac:dyDescent="0.2">
      <c r="F52" s="16">
        <v>47</v>
      </c>
      <c r="G52" s="18" t="s">
        <v>176</v>
      </c>
      <c r="H52" s="17">
        <v>2</v>
      </c>
      <c r="I52" s="17" t="s">
        <v>61</v>
      </c>
      <c r="J52" s="17">
        <v>144.595</v>
      </c>
      <c r="AG52">
        <f t="shared" ref="AG52:AH52" si="60">H55</f>
        <v>2</v>
      </c>
      <c r="AH52" t="str">
        <f t="shared" si="60"/>
        <v>B7</v>
      </c>
      <c r="AI52" t="s">
        <v>217</v>
      </c>
      <c r="AJ52" s="23" t="s">
        <v>64</v>
      </c>
    </row>
    <row r="53" spans="6:36" x14ac:dyDescent="0.2">
      <c r="F53" s="16">
        <v>48</v>
      </c>
      <c r="G53" s="18" t="s">
        <v>177</v>
      </c>
      <c r="H53" s="17">
        <v>2</v>
      </c>
      <c r="I53" s="17" t="s">
        <v>62</v>
      </c>
      <c r="J53" s="17">
        <v>161.816</v>
      </c>
      <c r="AG53">
        <f t="shared" ref="AG53:AH53" si="61">H56</f>
        <v>2</v>
      </c>
      <c r="AH53" t="str">
        <f t="shared" si="61"/>
        <v>C7</v>
      </c>
      <c r="AI53" t="s">
        <v>217</v>
      </c>
      <c r="AJ53" s="23" t="s">
        <v>65</v>
      </c>
    </row>
    <row r="54" spans="6:36" x14ac:dyDescent="0.2">
      <c r="F54" s="16">
        <v>49</v>
      </c>
      <c r="G54" s="18" t="s">
        <v>178</v>
      </c>
      <c r="H54" s="17">
        <v>2</v>
      </c>
      <c r="I54" s="17" t="s">
        <v>63</v>
      </c>
      <c r="J54" s="17">
        <v>144.012</v>
      </c>
      <c r="AG54">
        <f t="shared" ref="AG54:AH54" si="62">H57</f>
        <v>2</v>
      </c>
      <c r="AH54" t="str">
        <f t="shared" si="62"/>
        <v>D7</v>
      </c>
      <c r="AI54" t="s">
        <v>217</v>
      </c>
      <c r="AJ54" s="23" t="s">
        <v>66</v>
      </c>
    </row>
    <row r="55" spans="6:36" x14ac:dyDescent="0.2">
      <c r="F55" s="16">
        <v>50</v>
      </c>
      <c r="G55" s="18" t="s">
        <v>179</v>
      </c>
      <c r="H55" s="17">
        <v>2</v>
      </c>
      <c r="I55" s="17" t="s">
        <v>64</v>
      </c>
      <c r="J55" s="17">
        <v>173.16</v>
      </c>
      <c r="AG55">
        <f t="shared" ref="AG55:AH55" si="63">H58</f>
        <v>2</v>
      </c>
      <c r="AH55" t="str">
        <f t="shared" si="63"/>
        <v>E7</v>
      </c>
      <c r="AI55" t="s">
        <v>217</v>
      </c>
      <c r="AJ55" s="23" t="s">
        <v>67</v>
      </c>
    </row>
    <row r="56" spans="6:36" x14ac:dyDescent="0.2">
      <c r="F56" s="16">
        <v>51</v>
      </c>
      <c r="G56" s="18" t="s">
        <v>180</v>
      </c>
      <c r="H56" s="17">
        <v>2</v>
      </c>
      <c r="I56" s="17" t="s">
        <v>65</v>
      </c>
      <c r="J56" s="17">
        <v>254.83199999999999</v>
      </c>
      <c r="AG56">
        <f t="shared" ref="AG56:AH56" si="64">H59</f>
        <v>2</v>
      </c>
      <c r="AH56" t="str">
        <f t="shared" si="64"/>
        <v>F7</v>
      </c>
      <c r="AI56" t="s">
        <v>217</v>
      </c>
      <c r="AJ56" s="23" t="s">
        <v>68</v>
      </c>
    </row>
    <row r="57" spans="6:36" x14ac:dyDescent="0.2">
      <c r="F57" s="16">
        <v>52</v>
      </c>
      <c r="G57" s="18" t="s">
        <v>181</v>
      </c>
      <c r="H57" s="17">
        <v>2</v>
      </c>
      <c r="I57" s="17" t="s">
        <v>66</v>
      </c>
      <c r="J57" s="17">
        <v>65.126999999999995</v>
      </c>
      <c r="AG57">
        <f t="shared" ref="AG57:AH57" si="65">H60</f>
        <v>2</v>
      </c>
      <c r="AH57" t="str">
        <f t="shared" si="65"/>
        <v>G7</v>
      </c>
      <c r="AI57" t="s">
        <v>217</v>
      </c>
      <c r="AJ57" s="23" t="s">
        <v>69</v>
      </c>
    </row>
    <row r="58" spans="6:36" x14ac:dyDescent="0.2">
      <c r="F58" s="16">
        <v>53</v>
      </c>
      <c r="G58" s="18" t="s">
        <v>182</v>
      </c>
      <c r="H58" s="17">
        <v>2</v>
      </c>
      <c r="I58" s="17" t="s">
        <v>67</v>
      </c>
      <c r="J58" s="17">
        <v>200.47399999999999</v>
      </c>
      <c r="AG58">
        <f t="shared" ref="AG58:AH58" si="66">H61</f>
        <v>2</v>
      </c>
      <c r="AH58" t="str">
        <f t="shared" si="66"/>
        <v>H7</v>
      </c>
      <c r="AI58" t="s">
        <v>217</v>
      </c>
      <c r="AJ58" s="23" t="s">
        <v>70</v>
      </c>
    </row>
    <row r="59" spans="6:36" x14ac:dyDescent="0.2">
      <c r="F59" s="16">
        <v>54</v>
      </c>
      <c r="G59" s="18" t="s">
        <v>183</v>
      </c>
      <c r="H59" s="17">
        <v>2</v>
      </c>
      <c r="I59" s="17" t="s">
        <v>68</v>
      </c>
      <c r="J59" s="17">
        <v>174.03899999999999</v>
      </c>
      <c r="AG59">
        <f t="shared" ref="AG59:AH59" si="67">H62</f>
        <v>2</v>
      </c>
      <c r="AH59" t="str">
        <f t="shared" si="67"/>
        <v>A8</v>
      </c>
      <c r="AI59" t="s">
        <v>217</v>
      </c>
      <c r="AJ59" s="23" t="s">
        <v>71</v>
      </c>
    </row>
    <row r="60" spans="6:36" x14ac:dyDescent="0.2">
      <c r="F60" s="16">
        <v>55</v>
      </c>
      <c r="G60" s="18" t="s">
        <v>184</v>
      </c>
      <c r="H60" s="17">
        <v>2</v>
      </c>
      <c r="I60" s="17" t="s">
        <v>69</v>
      </c>
      <c r="J60" s="17">
        <v>158.42400000000001</v>
      </c>
      <c r="AG60">
        <f t="shared" ref="AG60:AH60" si="68">H63</f>
        <v>2</v>
      </c>
      <c r="AH60" t="str">
        <f t="shared" si="68"/>
        <v>C8</v>
      </c>
      <c r="AI60" t="s">
        <v>217</v>
      </c>
      <c r="AJ60" s="23" t="s">
        <v>73</v>
      </c>
    </row>
    <row r="61" spans="6:36" x14ac:dyDescent="0.2">
      <c r="F61" s="16">
        <v>56</v>
      </c>
      <c r="G61" s="18" t="s">
        <v>125</v>
      </c>
      <c r="H61" s="17">
        <v>2</v>
      </c>
      <c r="I61" s="17" t="s">
        <v>70</v>
      </c>
      <c r="J61" s="17">
        <v>178.01900000000001</v>
      </c>
      <c r="AG61">
        <f t="shared" ref="AG61:AH61" si="69">H64</f>
        <v>2</v>
      </c>
      <c r="AH61" t="str">
        <f t="shared" si="69"/>
        <v>B8</v>
      </c>
      <c r="AI61" t="s">
        <v>217</v>
      </c>
      <c r="AJ61" s="23" t="s">
        <v>72</v>
      </c>
    </row>
    <row r="62" spans="6:36" x14ac:dyDescent="0.2">
      <c r="F62" s="16">
        <v>57</v>
      </c>
      <c r="G62" s="18" t="s">
        <v>185</v>
      </c>
      <c r="H62" s="17">
        <v>2</v>
      </c>
      <c r="I62" s="17" t="s">
        <v>71</v>
      </c>
      <c r="J62" s="17">
        <v>19.454999999999998</v>
      </c>
      <c r="AG62">
        <f t="shared" ref="AG62:AH62" si="70">H65</f>
        <v>2</v>
      </c>
      <c r="AH62" t="str">
        <f t="shared" si="70"/>
        <v>D8</v>
      </c>
      <c r="AI62" t="s">
        <v>217</v>
      </c>
      <c r="AJ62" s="23" t="s">
        <v>74</v>
      </c>
    </row>
    <row r="63" spans="6:36" x14ac:dyDescent="0.2">
      <c r="F63" s="16">
        <v>58</v>
      </c>
      <c r="G63" s="18" t="s">
        <v>186</v>
      </c>
      <c r="H63" s="17">
        <v>2</v>
      </c>
      <c r="I63" s="17" t="s">
        <v>72</v>
      </c>
      <c r="J63" s="17">
        <v>90.150999999999996</v>
      </c>
      <c r="AG63">
        <f t="shared" ref="AG63:AH63" si="71">H66</f>
        <v>2</v>
      </c>
      <c r="AH63" t="str">
        <f t="shared" si="71"/>
        <v>E8</v>
      </c>
      <c r="AI63" t="s">
        <v>217</v>
      </c>
      <c r="AJ63" s="23" t="s">
        <v>75</v>
      </c>
    </row>
    <row r="64" spans="6:36" x14ac:dyDescent="0.2">
      <c r="F64" s="16">
        <v>59</v>
      </c>
      <c r="G64" s="18" t="s">
        <v>187</v>
      </c>
      <c r="H64" s="17">
        <v>2</v>
      </c>
      <c r="I64" s="17" t="s">
        <v>73</v>
      </c>
      <c r="J64" s="17">
        <v>260.60300000000001</v>
      </c>
      <c r="AG64">
        <f t="shared" ref="AG64:AH64" si="72">H67</f>
        <v>2</v>
      </c>
      <c r="AH64" t="str">
        <f t="shared" si="72"/>
        <v>F8</v>
      </c>
      <c r="AI64" t="s">
        <v>217</v>
      </c>
      <c r="AJ64" s="23" t="s">
        <v>76</v>
      </c>
    </row>
    <row r="65" spans="6:36" x14ac:dyDescent="0.2">
      <c r="F65" s="16">
        <v>60</v>
      </c>
      <c r="G65" s="18" t="s">
        <v>188</v>
      </c>
      <c r="H65" s="17">
        <v>2</v>
      </c>
      <c r="I65" s="17" t="s">
        <v>74</v>
      </c>
      <c r="J65" s="17">
        <v>44.433</v>
      </c>
      <c r="AG65">
        <f t="shared" ref="AG65:AH65" si="73">H68</f>
        <v>2</v>
      </c>
      <c r="AH65" t="str">
        <f t="shared" si="73"/>
        <v>G8</v>
      </c>
      <c r="AI65" t="s">
        <v>217</v>
      </c>
      <c r="AJ65" s="23" t="s">
        <v>77</v>
      </c>
    </row>
    <row r="66" spans="6:36" x14ac:dyDescent="0.2">
      <c r="F66" s="16">
        <v>61</v>
      </c>
      <c r="G66" s="18" t="s">
        <v>189</v>
      </c>
      <c r="H66" s="17">
        <v>2</v>
      </c>
      <c r="I66" s="17" t="s">
        <v>75</v>
      </c>
      <c r="J66" s="17">
        <v>60.511000000000003</v>
      </c>
      <c r="AG66">
        <f t="shared" ref="AG66:AH66" si="74">H69</f>
        <v>2</v>
      </c>
      <c r="AH66" t="str">
        <f t="shared" si="74"/>
        <v>H8</v>
      </c>
      <c r="AI66" t="s">
        <v>217</v>
      </c>
      <c r="AJ66" s="23" t="s">
        <v>78</v>
      </c>
    </row>
    <row r="67" spans="6:36" x14ac:dyDescent="0.2">
      <c r="F67" s="16">
        <v>62</v>
      </c>
      <c r="G67" s="18" t="s">
        <v>190</v>
      </c>
      <c r="H67" s="17">
        <v>2</v>
      </c>
      <c r="I67" s="17" t="s">
        <v>76</v>
      </c>
      <c r="J67" s="17">
        <v>19.64</v>
      </c>
      <c r="AG67">
        <f t="shared" ref="AG67:AH67" si="75">H70</f>
        <v>2</v>
      </c>
      <c r="AH67" t="str">
        <f t="shared" si="75"/>
        <v>A9</v>
      </c>
      <c r="AI67" t="s">
        <v>217</v>
      </c>
      <c r="AJ67" s="23" t="s">
        <v>79</v>
      </c>
    </row>
    <row r="68" spans="6:36" x14ac:dyDescent="0.2">
      <c r="F68" s="16">
        <v>63</v>
      </c>
      <c r="G68" s="18" t="s">
        <v>191</v>
      </c>
      <c r="H68" s="17">
        <v>2</v>
      </c>
      <c r="I68" s="17" t="s">
        <v>77</v>
      </c>
      <c r="J68" s="17">
        <v>17.100000000000001</v>
      </c>
      <c r="AG68">
        <f t="shared" ref="AG68:AH68" si="76">H71</f>
        <v>2</v>
      </c>
      <c r="AH68" t="str">
        <f t="shared" si="76"/>
        <v>B9</v>
      </c>
      <c r="AI68" t="s">
        <v>217</v>
      </c>
      <c r="AJ68" s="23" t="s">
        <v>80</v>
      </c>
    </row>
    <row r="69" spans="6:36" x14ac:dyDescent="0.2">
      <c r="F69" s="16">
        <v>64</v>
      </c>
      <c r="G69" s="18" t="s">
        <v>192</v>
      </c>
      <c r="H69" s="17">
        <v>2</v>
      </c>
      <c r="I69" s="17" t="s">
        <v>78</v>
      </c>
      <c r="J69" s="17">
        <v>-0.121</v>
      </c>
      <c r="AG69">
        <f t="shared" ref="AG69:AH69" si="77">H72</f>
        <v>2</v>
      </c>
      <c r="AH69" t="str">
        <f t="shared" si="77"/>
        <v>C9</v>
      </c>
      <c r="AI69" t="s">
        <v>217</v>
      </c>
      <c r="AJ69" s="23" t="s">
        <v>81</v>
      </c>
    </row>
    <row r="70" spans="6:36" x14ac:dyDescent="0.2">
      <c r="F70" s="16">
        <v>65</v>
      </c>
      <c r="G70" s="18" t="s">
        <v>193</v>
      </c>
      <c r="H70" s="17">
        <v>2</v>
      </c>
      <c r="I70" s="17" t="s">
        <v>79</v>
      </c>
      <c r="J70" s="17">
        <v>75.656000000000006</v>
      </c>
      <c r="AG70">
        <f t="shared" ref="AG70:AH70" si="78">H73</f>
        <v>2</v>
      </c>
      <c r="AH70" t="str">
        <f t="shared" si="78"/>
        <v>D9</v>
      </c>
      <c r="AI70" t="s">
        <v>217</v>
      </c>
      <c r="AJ70" s="23" t="s">
        <v>82</v>
      </c>
    </row>
    <row r="71" spans="6:36" x14ac:dyDescent="0.2">
      <c r="F71" s="16">
        <v>66</v>
      </c>
      <c r="G71" s="18" t="s">
        <v>194</v>
      </c>
      <c r="H71" s="17">
        <v>2</v>
      </c>
      <c r="I71" s="17" t="s">
        <v>80</v>
      </c>
      <c r="J71" s="17">
        <v>74.082999999999998</v>
      </c>
      <c r="AG71">
        <f t="shared" ref="AG71:AH71" si="79">H74</f>
        <v>2</v>
      </c>
      <c r="AH71" t="str">
        <f t="shared" si="79"/>
        <v>E9</v>
      </c>
      <c r="AI71" t="s">
        <v>217</v>
      </c>
      <c r="AJ71" s="23" t="s">
        <v>83</v>
      </c>
    </row>
    <row r="72" spans="6:36" x14ac:dyDescent="0.2">
      <c r="F72" s="16">
        <v>67</v>
      </c>
      <c r="G72" s="18" t="s">
        <v>195</v>
      </c>
      <c r="H72" s="17">
        <v>2</v>
      </c>
      <c r="I72" s="17" t="s">
        <v>81</v>
      </c>
      <c r="J72" s="17">
        <v>50.112000000000002</v>
      </c>
      <c r="AG72">
        <f t="shared" ref="AG72:AH72" si="80">H75</f>
        <v>2</v>
      </c>
      <c r="AH72" t="str">
        <f t="shared" si="80"/>
        <v>F9</v>
      </c>
      <c r="AI72" t="s">
        <v>217</v>
      </c>
      <c r="AJ72" s="23" t="s">
        <v>84</v>
      </c>
    </row>
    <row r="73" spans="6:36" x14ac:dyDescent="0.2">
      <c r="F73" s="16">
        <v>68</v>
      </c>
      <c r="G73" s="18" t="s">
        <v>196</v>
      </c>
      <c r="H73" s="17">
        <v>2</v>
      </c>
      <c r="I73" s="17" t="s">
        <v>82</v>
      </c>
      <c r="J73" s="17">
        <v>48.718000000000004</v>
      </c>
      <c r="AG73">
        <f>H76</f>
        <v>2</v>
      </c>
      <c r="AH73" t="str">
        <f>I76</f>
        <v>G9</v>
      </c>
      <c r="AI73" t="s">
        <v>217</v>
      </c>
      <c r="AJ73" s="23" t="s">
        <v>85</v>
      </c>
    </row>
    <row r="74" spans="6:36" x14ac:dyDescent="0.2">
      <c r="F74" s="16">
        <v>69</v>
      </c>
      <c r="G74" s="18" t="s">
        <v>197</v>
      </c>
      <c r="H74" s="17">
        <v>2</v>
      </c>
      <c r="I74" s="17" t="s">
        <v>83</v>
      </c>
      <c r="J74" s="17">
        <v>89.528000000000006</v>
      </c>
      <c r="AG74">
        <f t="shared" ref="AG74:AG80" si="81">H77</f>
        <v>2</v>
      </c>
      <c r="AH74" t="str">
        <f t="shared" ref="AH74:AH80" si="82">I77</f>
        <v>H9</v>
      </c>
      <c r="AI74" t="s">
        <v>217</v>
      </c>
      <c r="AJ74" s="23" t="s">
        <v>86</v>
      </c>
    </row>
    <row r="75" spans="6:36" x14ac:dyDescent="0.2">
      <c r="F75" s="16">
        <v>70</v>
      </c>
      <c r="G75" s="18" t="s">
        <v>198</v>
      </c>
      <c r="H75" s="17">
        <v>2</v>
      </c>
      <c r="I75" s="17" t="s">
        <v>84</v>
      </c>
      <c r="J75" s="17">
        <v>57.923000000000002</v>
      </c>
      <c r="AG75">
        <f t="shared" si="81"/>
        <v>2</v>
      </c>
      <c r="AH75" t="str">
        <f t="shared" si="82"/>
        <v>A10</v>
      </c>
      <c r="AI75" t="s">
        <v>217</v>
      </c>
      <c r="AJ75" s="23" t="s">
        <v>87</v>
      </c>
    </row>
    <row r="76" spans="6:36" x14ac:dyDescent="0.2">
      <c r="F76" s="16">
        <v>71</v>
      </c>
      <c r="G76" s="18" t="s">
        <v>199</v>
      </c>
      <c r="H76" s="17">
        <v>2</v>
      </c>
      <c r="I76" s="17" t="s">
        <v>85</v>
      </c>
      <c r="J76" s="17">
        <v>32.847999999999999</v>
      </c>
      <c r="AG76">
        <f t="shared" si="81"/>
        <v>2</v>
      </c>
      <c r="AH76" t="str">
        <f t="shared" si="82"/>
        <v>B10</v>
      </c>
      <c r="AI76" t="s">
        <v>217</v>
      </c>
      <c r="AJ76" s="23" t="s">
        <v>88</v>
      </c>
    </row>
    <row r="77" spans="6:36" x14ac:dyDescent="0.2">
      <c r="F77" s="16">
        <v>72</v>
      </c>
      <c r="G77" s="18" t="s">
        <v>200</v>
      </c>
      <c r="H77" s="17">
        <v>2</v>
      </c>
      <c r="I77" s="17" t="s">
        <v>86</v>
      </c>
      <c r="J77" s="17">
        <v>39.302999999999997</v>
      </c>
      <c r="AG77">
        <f t="shared" si="81"/>
        <v>2</v>
      </c>
      <c r="AH77" t="str">
        <f t="shared" si="82"/>
        <v>C10</v>
      </c>
      <c r="AI77" t="s">
        <v>217</v>
      </c>
      <c r="AJ77" s="23" t="s">
        <v>89</v>
      </c>
    </row>
    <row r="78" spans="6:36" x14ac:dyDescent="0.2">
      <c r="F78" s="16">
        <v>73</v>
      </c>
      <c r="G78" s="18" t="s">
        <v>201</v>
      </c>
      <c r="H78" s="17">
        <v>2</v>
      </c>
      <c r="I78" s="17" t="s">
        <v>87</v>
      </c>
      <c r="J78" s="17">
        <v>14.242000000000001</v>
      </c>
      <c r="AG78">
        <f t="shared" si="81"/>
        <v>2</v>
      </c>
      <c r="AH78" t="str">
        <f t="shared" si="82"/>
        <v>D10</v>
      </c>
      <c r="AI78" t="s">
        <v>217</v>
      </c>
      <c r="AJ78" s="23" t="s">
        <v>90</v>
      </c>
    </row>
    <row r="79" spans="6:36" x14ac:dyDescent="0.2">
      <c r="F79" s="16">
        <v>74</v>
      </c>
      <c r="G79" s="18" t="s">
        <v>202</v>
      </c>
      <c r="H79" s="17">
        <v>2</v>
      </c>
      <c r="I79" s="17" t="s">
        <v>88</v>
      </c>
      <c r="J79" s="17">
        <v>74.975999999999999</v>
      </c>
      <c r="AG79">
        <f t="shared" si="81"/>
        <v>2</v>
      </c>
      <c r="AH79" t="str">
        <f t="shared" si="82"/>
        <v>E10</v>
      </c>
      <c r="AI79" t="s">
        <v>217</v>
      </c>
      <c r="AJ79" s="23" t="s">
        <v>91</v>
      </c>
    </row>
    <row r="80" spans="6:36" x14ac:dyDescent="0.2">
      <c r="F80" s="16">
        <v>75</v>
      </c>
      <c r="G80" s="18" t="s">
        <v>203</v>
      </c>
      <c r="H80" s="17">
        <v>2</v>
      </c>
      <c r="I80" s="17" t="s">
        <v>89</v>
      </c>
      <c r="J80" s="17">
        <v>83.747</v>
      </c>
      <c r="AG80">
        <f t="shared" si="81"/>
        <v>2</v>
      </c>
      <c r="AH80" t="str">
        <f t="shared" si="82"/>
        <v>F10</v>
      </c>
      <c r="AI80" t="s">
        <v>217</v>
      </c>
      <c r="AJ80" s="23" t="s">
        <v>92</v>
      </c>
    </row>
    <row r="81" spans="6:36" x14ac:dyDescent="0.2">
      <c r="F81" s="16">
        <v>76</v>
      </c>
      <c r="G81" s="18" t="s">
        <v>204</v>
      </c>
      <c r="H81" s="17">
        <v>2</v>
      </c>
      <c r="I81" s="17" t="s">
        <v>90</v>
      </c>
      <c r="J81" s="17">
        <v>141.92599999999999</v>
      </c>
      <c r="AG81">
        <f>H84</f>
        <v>2</v>
      </c>
      <c r="AH81" t="str">
        <f>I84</f>
        <v>G10</v>
      </c>
      <c r="AI81" t="s">
        <v>217</v>
      </c>
      <c r="AJ81" s="23" t="s">
        <v>93</v>
      </c>
    </row>
    <row r="82" spans="6:36" x14ac:dyDescent="0.2">
      <c r="F82" s="16">
        <v>77</v>
      </c>
      <c r="G82" s="18" t="s">
        <v>205</v>
      </c>
      <c r="H82" s="17">
        <v>2</v>
      </c>
      <c r="I82" s="17" t="s">
        <v>91</v>
      </c>
      <c r="J82" s="17">
        <v>135.875</v>
      </c>
      <c r="AG82">
        <f t="shared" ref="AG82:AG94" si="83">H85</f>
        <v>2</v>
      </c>
      <c r="AH82" t="str">
        <f t="shared" ref="AH82:AH94" si="84">I85</f>
        <v>A11</v>
      </c>
      <c r="AI82" t="s">
        <v>217</v>
      </c>
      <c r="AJ82" s="23" t="s">
        <v>95</v>
      </c>
    </row>
    <row r="83" spans="6:36" x14ac:dyDescent="0.2">
      <c r="F83" s="16">
        <v>78</v>
      </c>
      <c r="G83" s="18" t="s">
        <v>206</v>
      </c>
      <c r="H83" s="17">
        <v>2</v>
      </c>
      <c r="I83" s="17" t="s">
        <v>92</v>
      </c>
      <c r="J83" s="17">
        <v>25.603999999999999</v>
      </c>
      <c r="AG83">
        <f t="shared" si="83"/>
        <v>2</v>
      </c>
      <c r="AH83" t="str">
        <f t="shared" si="84"/>
        <v>H10</v>
      </c>
      <c r="AI83" t="s">
        <v>217</v>
      </c>
      <c r="AJ83" s="23" t="s">
        <v>94</v>
      </c>
    </row>
    <row r="84" spans="6:36" x14ac:dyDescent="0.2">
      <c r="F84" s="16">
        <v>79</v>
      </c>
      <c r="G84" s="18" t="s">
        <v>207</v>
      </c>
      <c r="H84" s="17">
        <v>2</v>
      </c>
      <c r="I84" s="17" t="s">
        <v>93</v>
      </c>
      <c r="J84" s="17">
        <v>25.959</v>
      </c>
      <c r="AG84">
        <f t="shared" si="83"/>
        <v>2</v>
      </c>
      <c r="AH84" t="str">
        <f t="shared" si="84"/>
        <v>B11</v>
      </c>
      <c r="AI84" t="s">
        <v>217</v>
      </c>
      <c r="AJ84" s="23" t="s">
        <v>96</v>
      </c>
    </row>
    <row r="85" spans="6:36" x14ac:dyDescent="0.2">
      <c r="F85" s="16">
        <v>80</v>
      </c>
      <c r="G85" s="18" t="s">
        <v>208</v>
      </c>
      <c r="H85" s="17">
        <v>2</v>
      </c>
      <c r="I85" s="17" t="s">
        <v>94</v>
      </c>
      <c r="J85" s="17">
        <v>32.823</v>
      </c>
      <c r="AG85">
        <f t="shared" si="83"/>
        <v>2</v>
      </c>
      <c r="AH85" t="str">
        <f t="shared" si="84"/>
        <v>C11</v>
      </c>
      <c r="AI85" t="s">
        <v>217</v>
      </c>
      <c r="AJ85" s="23" t="s">
        <v>97</v>
      </c>
    </row>
    <row r="86" spans="6:36" x14ac:dyDescent="0.2">
      <c r="F86" s="16">
        <v>81</v>
      </c>
      <c r="G86" s="18" t="s">
        <v>209</v>
      </c>
      <c r="H86" s="17">
        <v>2</v>
      </c>
      <c r="I86" s="17" t="s">
        <v>95</v>
      </c>
      <c r="J86" s="17">
        <v>19.071000000000002</v>
      </c>
      <c r="AG86">
        <f t="shared" si="83"/>
        <v>2</v>
      </c>
      <c r="AH86" t="str">
        <f t="shared" si="84"/>
        <v>D11</v>
      </c>
      <c r="AI86" t="s">
        <v>217</v>
      </c>
      <c r="AJ86" s="23" t="s">
        <v>98</v>
      </c>
    </row>
    <row r="87" spans="6:36" x14ac:dyDescent="0.2">
      <c r="F87" s="16">
        <v>82</v>
      </c>
      <c r="G87" s="18" t="s">
        <v>210</v>
      </c>
      <c r="H87" s="17">
        <v>2</v>
      </c>
      <c r="I87" s="17" t="s">
        <v>96</v>
      </c>
      <c r="J87" s="17">
        <v>17.122</v>
      </c>
      <c r="AG87">
        <f t="shared" si="83"/>
        <v>2</v>
      </c>
      <c r="AH87" t="str">
        <f t="shared" si="84"/>
        <v>E11</v>
      </c>
      <c r="AI87" t="s">
        <v>217</v>
      </c>
      <c r="AJ87" s="23" t="s">
        <v>99</v>
      </c>
    </row>
    <row r="88" spans="6:36" x14ac:dyDescent="0.2">
      <c r="F88" s="16">
        <v>83</v>
      </c>
      <c r="G88" s="18" t="s">
        <v>211</v>
      </c>
      <c r="H88" s="17">
        <v>2</v>
      </c>
      <c r="I88" s="17" t="s">
        <v>97</v>
      </c>
      <c r="J88" s="17">
        <v>123.4325</v>
      </c>
      <c r="AG88">
        <f t="shared" si="83"/>
        <v>2</v>
      </c>
      <c r="AH88" t="str">
        <f t="shared" si="84"/>
        <v>F11</v>
      </c>
      <c r="AI88" t="s">
        <v>217</v>
      </c>
      <c r="AJ88" s="23" t="s">
        <v>100</v>
      </c>
    </row>
    <row r="89" spans="6:36" x14ac:dyDescent="0.2">
      <c r="F89" s="16">
        <v>84</v>
      </c>
      <c r="G89" s="18" t="s">
        <v>212</v>
      </c>
      <c r="H89" s="17">
        <v>2</v>
      </c>
      <c r="I89" s="17" t="s">
        <v>98</v>
      </c>
      <c r="J89" s="17">
        <v>196.03200000000001</v>
      </c>
      <c r="AG89">
        <f t="shared" si="83"/>
        <v>2</v>
      </c>
      <c r="AH89" t="str">
        <f t="shared" si="84"/>
        <v>G11</v>
      </c>
      <c r="AI89" t="s">
        <v>217</v>
      </c>
      <c r="AJ89" s="23" t="s">
        <v>101</v>
      </c>
    </row>
    <row r="90" spans="6:36" x14ac:dyDescent="0.2">
      <c r="F90" s="16">
        <v>85</v>
      </c>
      <c r="G90" s="18" t="s">
        <v>213</v>
      </c>
      <c r="H90" s="17">
        <v>2</v>
      </c>
      <c r="I90" s="17" t="s">
        <v>99</v>
      </c>
      <c r="J90" s="17">
        <v>135.77699999999999</v>
      </c>
      <c r="AG90">
        <f t="shared" si="83"/>
        <v>2</v>
      </c>
      <c r="AH90" t="str">
        <f t="shared" si="84"/>
        <v>H11</v>
      </c>
      <c r="AI90" t="s">
        <v>217</v>
      </c>
      <c r="AJ90" s="23" t="s">
        <v>102</v>
      </c>
    </row>
    <row r="91" spans="6:36" x14ac:dyDescent="0.2">
      <c r="F91" s="16">
        <v>86</v>
      </c>
      <c r="G91" s="18" t="s">
        <v>214</v>
      </c>
      <c r="H91" s="17">
        <v>2</v>
      </c>
      <c r="I91" s="17" t="s">
        <v>100</v>
      </c>
      <c r="J91" s="17">
        <v>215.71899999999999</v>
      </c>
      <c r="AG91">
        <f t="shared" si="83"/>
        <v>2</v>
      </c>
      <c r="AH91" t="str">
        <f t="shared" si="84"/>
        <v>A12</v>
      </c>
      <c r="AI91" t="s">
        <v>217</v>
      </c>
      <c r="AJ91" s="23" t="s">
        <v>103</v>
      </c>
    </row>
    <row r="92" spans="6:36" x14ac:dyDescent="0.2">
      <c r="F92" s="16">
        <v>87</v>
      </c>
      <c r="G92" s="18" t="s">
        <v>215</v>
      </c>
      <c r="H92" s="17">
        <v>2</v>
      </c>
      <c r="I92" s="17" t="s">
        <v>101</v>
      </c>
      <c r="J92" s="17">
        <v>169.607</v>
      </c>
      <c r="AG92">
        <f t="shared" si="83"/>
        <v>2</v>
      </c>
      <c r="AH92" t="str">
        <f t="shared" si="84"/>
        <v>B12</v>
      </c>
      <c r="AI92" t="s">
        <v>217</v>
      </c>
      <c r="AJ92" s="23" t="s">
        <v>104</v>
      </c>
    </row>
    <row r="93" spans="6:36" x14ac:dyDescent="0.2">
      <c r="F93" s="16">
        <v>88</v>
      </c>
      <c r="G93" s="18" t="s">
        <v>216</v>
      </c>
      <c r="H93" s="17">
        <v>2</v>
      </c>
      <c r="I93" s="17" t="s">
        <v>102</v>
      </c>
      <c r="J93" s="17">
        <v>85.71</v>
      </c>
      <c r="AG93">
        <f t="shared" si="83"/>
        <v>2</v>
      </c>
      <c r="AH93" t="str">
        <f t="shared" si="84"/>
        <v>C12</v>
      </c>
      <c r="AI93" t="s">
        <v>217</v>
      </c>
      <c r="AJ93" s="23" t="s">
        <v>105</v>
      </c>
    </row>
    <row r="94" spans="6:36" x14ac:dyDescent="0.2">
      <c r="F94" s="16">
        <v>89</v>
      </c>
      <c r="G94" s="18" t="s">
        <v>126</v>
      </c>
      <c r="H94" s="17">
        <v>2</v>
      </c>
      <c r="I94" s="17" t="s">
        <v>103</v>
      </c>
      <c r="J94" s="17">
        <v>336.75700000000001</v>
      </c>
      <c r="AG94">
        <f t="shared" si="83"/>
        <v>2</v>
      </c>
      <c r="AH94" t="str">
        <f t="shared" si="84"/>
        <v>D12</v>
      </c>
      <c r="AI94" t="s">
        <v>217</v>
      </c>
      <c r="AJ94" s="23" t="s">
        <v>106</v>
      </c>
    </row>
    <row r="95" spans="6:36" x14ac:dyDescent="0.2">
      <c r="F95" s="16">
        <v>90</v>
      </c>
      <c r="G95" s="18" t="s">
        <v>127</v>
      </c>
      <c r="H95" s="17">
        <v>2</v>
      </c>
      <c r="I95" s="17" t="s">
        <v>104</v>
      </c>
      <c r="J95" s="17">
        <v>43.615000000000002</v>
      </c>
      <c r="AG95" t="str">
        <f>B11</f>
        <v>Water blank</v>
      </c>
      <c r="AH95">
        <f>C11</f>
        <v>1</v>
      </c>
      <c r="AI95" t="s">
        <v>217</v>
      </c>
      <c r="AJ95" s="23" t="s">
        <v>123</v>
      </c>
    </row>
    <row r="96" spans="6:36" x14ac:dyDescent="0.2">
      <c r="F96" s="16">
        <v>91</v>
      </c>
      <c r="G96" s="18" t="s">
        <v>128</v>
      </c>
      <c r="H96" s="17">
        <v>2</v>
      </c>
      <c r="I96" s="17" t="s">
        <v>105</v>
      </c>
      <c r="J96" s="17">
        <v>16.12</v>
      </c>
      <c r="AG96" t="str">
        <f>B12</f>
        <v>Positive control</v>
      </c>
      <c r="AH96">
        <f>C12</f>
        <v>2</v>
      </c>
      <c r="AI96" t="s">
        <v>217</v>
      </c>
      <c r="AJ96" s="23" t="s">
        <v>124</v>
      </c>
    </row>
    <row r="97" spans="6:36" x14ac:dyDescent="0.2">
      <c r="F97" s="16">
        <v>92</v>
      </c>
      <c r="G97" s="18" t="s">
        <v>129</v>
      </c>
      <c r="H97" s="17">
        <v>2</v>
      </c>
      <c r="I97" s="17" t="s">
        <v>106</v>
      </c>
      <c r="J97" s="17">
        <v>89.638000000000005</v>
      </c>
      <c r="AJ97" s="23"/>
    </row>
    <row r="98" spans="6:36" x14ac:dyDescent="0.2">
      <c r="G98" s="18"/>
      <c r="H98" s="17"/>
      <c r="I98" s="17"/>
      <c r="J98" s="17"/>
      <c r="AJ98" s="23"/>
    </row>
    <row r="99" spans="6:36" x14ac:dyDescent="0.2">
      <c r="H99" s="17"/>
      <c r="I99" s="17"/>
      <c r="J99" s="17"/>
    </row>
    <row r="100" spans="6:36" x14ac:dyDescent="0.2">
      <c r="H100" s="17"/>
      <c r="I100" s="17"/>
      <c r="J100" s="17"/>
    </row>
    <row r="101" spans="6:36" x14ac:dyDescent="0.2">
      <c r="I101" s="17"/>
      <c r="J101" s="17"/>
    </row>
    <row r="102" spans="6:36" x14ac:dyDescent="0.2">
      <c r="J102" s="17"/>
    </row>
    <row r="103" spans="6:36" x14ac:dyDescent="0.2">
      <c r="J103" s="17"/>
    </row>
    <row r="104" spans="6:36" x14ac:dyDescent="0.2">
      <c r="J104" s="1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Gabrys</dc:creator>
  <cp:lastModifiedBy>Ava Gabrys</cp:lastModifiedBy>
  <dcterms:created xsi:type="dcterms:W3CDTF">2025-09-29T20:59:21Z</dcterms:created>
  <dcterms:modified xsi:type="dcterms:W3CDTF">2025-10-02T01:51:07Z</dcterms:modified>
</cp:coreProperties>
</file>